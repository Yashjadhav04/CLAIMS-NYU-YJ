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National_PMPM" sheetId="2" state="visible" r:id="rId4"/>
    <sheet name="Drug_PVM" sheetId="3" state="visible" r:id="rId5"/>
    <sheet name="Negotiation" sheetId="4" state="visible" r:id="rId6"/>
    <sheet name="Net_Sensitivity" sheetId="5" state="visible" r:id="rId7"/>
    <sheet name="State_PMPM" sheetId="6" state="visible" r:id="rId8"/>
    <sheet name="Top_Drugs" sheetId="7" state="visible" r:id="rId9"/>
    <sheet name="Data_Check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<sst xmlns="http://schemas.openxmlformats.org/spreadsheetml/2006/main" count="297" uniqueCount="256">
  <si>
    <t xml:space="preserve">Medicare Part D analyst pack (real CMS public data)</t>
  </si>
  <si>
    <t xml:space="preserve">Source: CMS data.cms.gov: Medicare Part D Spending by Drug (2020-2024), Medicare Monthly Enrollment, Part D Prescribers by Geography and Drug (2024), CMS 2026 negotiated-price fact sheet.</t>
  </si>
  <si>
    <t xml:space="preserve">Gross drug cost = Medicare + plan + beneficiary payments, before rebates. All of Part D, not one plan. Not UnitedHealth Group data.</t>
  </si>
  <si>
    <t xml:space="preserve">Blue cells are inputs copied from the CMS files by src/partd/excel_pack.py. Black cells are formulas. Yellow cells are assumptions you can change.</t>
  </si>
  <si>
    <t xml:space="preserve">Sheets: National_PMPM (per-member cost and a use-vs-price split), Drug_PVM (price/volume/mix by drug, 2023 to 2024), Negotiation (2026 prices and exposure),</t>
  </si>
  <si>
    <t xml:space="preserve">Net_Sensitivity (gross to net under an assumed rebate rate), State_PMPM (state comparison), Top_Drugs, Data_Checks.</t>
  </si>
  <si>
    <t xml:space="preserve">Known limits: dose units mix tablets, mL and pens; 2025 and Q1 2026 are preliminary and not used in growth rates; state cost is by prescriber location, enrollment by member residence.</t>
  </si>
  <si>
    <t xml:space="preserve">The rebate rate on Net_Sensitivity is an assumption, not a number from CMS data (CMS does not publish rebates).</t>
  </si>
  <si>
    <t xml:space="preserve">National gross drug cost per member per month</t>
  </si>
  <si>
    <t xml:space="preserve">Inputs: CMS spending file (spend, claims) and CMS Monthly Enrollment (member months = Part D enrollees summed over 12 months).</t>
  </si>
  <si>
    <t xml:space="preserve">Year</t>
  </si>
  <si>
    <t xml:space="preserve">Gross spend ($)</t>
  </si>
  <si>
    <t xml:space="preserve">Claims</t>
  </si>
  <si>
    <t xml:space="preserve">Member months</t>
  </si>
  <si>
    <t xml:space="preserve">Gross PMPM ($)</t>
  </si>
  <si>
    <t xml:space="preserve">Claims per 1,000 member months</t>
  </si>
  <si>
    <t xml:space="preserve">Spend per claim ($)</t>
  </si>
  <si>
    <t xml:space="preserve">PMPM change vs prior year ($)</t>
  </si>
  <si>
    <t xml:space="preserve">PMPM change %</t>
  </si>
  <si>
    <t xml:space="preserve">Of which: claims per member ($)</t>
  </si>
  <si>
    <t xml:space="preserve">Of which: cost per claim ($)</t>
  </si>
  <si>
    <t xml:space="preserve">Split check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</si>
  <si>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</si>
  <si>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</si>
  <si>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</si>
  <si>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</si>
  <si>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</si>
  <si>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CAGR 2020-2024: PMPM</t>
  </si>
  <si>
    <t xml:space="preserve">CAGR: spend</t>
  </si>
  <si>
    <t xml:space="preserve">CAGR: claims</t>
  </si>
  <si>
    <t xml:space="preserve">Check: J + K equals H each year (should be 0)</t>
  </si>
  <si>
    <t xml:space="preserve">Price, volume and mix by drug, 2023 to 2024 (top 100 drugs by 2024 spend, all others combined)</t>
  </si>
  <si>
    <t xml:space="preserve">Volume = dose units. Method as in the dashboard: volume = (U1/U0-1)*S0; mix = (u1 - u0*U1/U0)*p0; price = u1*(p1-p0); new drugs = u1*p1. 'All other' is treated as one drug, so mix and price inside it are not shown; totals therefore differ from the dashboard's full drug-level split (dashboard: price about -$29B).</t>
  </si>
  <si>
    <t xml:space="preserve">Drug</t>
  </si>
  <si>
    <t xml:space="preserve">Spend 2023 ($)</t>
  </si>
  <si>
    <t xml:space="preserve">Dose units 2023</t>
  </si>
  <si>
    <t xml:space="preserve">Spend 2024 ($)</t>
  </si>
  <si>
    <t xml:space="preserve">Dose units 2024</t>
  </si>
  <si>
    <t xml:space="preserve">Price 2023 ($/unit)</t>
  </si>
  <si>
    <t xml:space="preserve">Price 2024 ($/unit)</t>
  </si>
  <si>
    <t xml:space="preserve">Volume effect ($)</t>
  </si>
  <si>
    <t xml:space="preserve">Mix effect ($)</t>
  </si>
  <si>
    <t xml:space="preserve">Price effect ($)</t>
  </si>
  <si>
    <t xml:space="preserve">New-drug effect ($)</t>
  </si>
  <si>
    <t xml:space="preserve">Total change ($)</t>
  </si>
  <si>
    <t xml:space="preserve">Check vs actual</t>
  </si>
  <si>
    <t xml:space="preserve">Eliquis</t>
  </si>
  <si>
    <t xml:space="preserve">Ozempic</t>
  </si>
  <si>
    <t xml:space="preserve">Jardiance</t>
  </si>
  <si>
    <t xml:space="preserve">Mounjaro</t>
  </si>
  <si>
    <t xml:space="preserve">Xarelto</t>
  </si>
  <si>
    <t xml:space="preserve">Trulicity</t>
  </si>
  <si>
    <t xml:space="preserve">Trelegy Ellipta</t>
  </si>
  <si>
    <t xml:space="preserve">Farxiga</t>
  </si>
  <si>
    <t xml:space="preserve">Humira(Cf) Pen</t>
  </si>
  <si>
    <t xml:space="preserve">Revlimid</t>
  </si>
  <si>
    <t xml:space="preserve">Entresto</t>
  </si>
  <si>
    <t xml:space="preserve">Januvia</t>
  </si>
  <si>
    <t xml:space="preserve">Biktarvy</t>
  </si>
  <si>
    <t xml:space="preserve">Xtandi</t>
  </si>
  <si>
    <t xml:space="preserve">Stelara*</t>
  </si>
  <si>
    <t xml:space="preserve">Vyndamax</t>
  </si>
  <si>
    <t xml:space="preserve">Lenalidomide</t>
  </si>
  <si>
    <t xml:space="preserve">Enbrel Sureclick</t>
  </si>
  <si>
    <t xml:space="preserve">Myrbetriq</t>
  </si>
  <si>
    <t xml:space="preserve">Imbruvica</t>
  </si>
  <si>
    <t xml:space="preserve">Pomalyst</t>
  </si>
  <si>
    <t xml:space="preserve">Ofev</t>
  </si>
  <si>
    <t xml:space="preserve">Jakafi</t>
  </si>
  <si>
    <t xml:space="preserve">Ibrance</t>
  </si>
  <si>
    <t xml:space="preserve">Linzess</t>
  </si>
  <si>
    <t xml:space="preserve">Ingrezza</t>
  </si>
  <si>
    <t xml:space="preserve">Rybelsus</t>
  </si>
  <si>
    <t xml:space="preserve">Invega Sustenna</t>
  </si>
  <si>
    <t xml:space="preserve">Dupixent Pen</t>
  </si>
  <si>
    <t xml:space="preserve">Skyrizi Pen</t>
  </si>
  <si>
    <t xml:space="preserve">Brukinsa</t>
  </si>
  <si>
    <t xml:space="preserve">Repatha Sureclick</t>
  </si>
  <si>
    <t xml:space="preserve">Calquence</t>
  </si>
  <si>
    <t xml:space="preserve">Tagrisso</t>
  </si>
  <si>
    <t xml:space="preserve">Creon</t>
  </si>
  <si>
    <t xml:space="preserve">Erleada</t>
  </si>
  <si>
    <t xml:space="preserve">Rinvoq</t>
  </si>
  <si>
    <t xml:space="preserve">Breo Ellipta</t>
  </si>
  <si>
    <t xml:space="preserve">Restasis</t>
  </si>
  <si>
    <t xml:space="preserve">Opsumit</t>
  </si>
  <si>
    <t xml:space="preserve">Cabometyx</t>
  </si>
  <si>
    <t xml:space="preserve">Xifaxan</t>
  </si>
  <si>
    <t xml:space="preserve">Vraylar</t>
  </si>
  <si>
    <t xml:space="preserve">Breztri Aerosphere</t>
  </si>
  <si>
    <t xml:space="preserve">Tradjenta</t>
  </si>
  <si>
    <t xml:space="preserve">Austedo</t>
  </si>
  <si>
    <t xml:space="preserve">Verzenio</t>
  </si>
  <si>
    <t xml:space="preserve">Otezla</t>
  </si>
  <si>
    <t xml:space="preserve">Nubeqa</t>
  </si>
  <si>
    <t xml:space="preserve">Tresiba Flextouch U-200</t>
  </si>
  <si>
    <t xml:space="preserve">Gemtesa</t>
  </si>
  <si>
    <t xml:space="preserve">Venclexta</t>
  </si>
  <si>
    <t xml:space="preserve">Uptravi*</t>
  </si>
  <si>
    <t xml:space="preserve">Spiriva Respimat</t>
  </si>
  <si>
    <t xml:space="preserve">Lenvima</t>
  </si>
  <si>
    <t xml:space="preserve">Rexulti</t>
  </si>
  <si>
    <t xml:space="preserve">Tresiba Flextouch U-100</t>
  </si>
  <si>
    <t xml:space="preserve">Anoro Ellipta</t>
  </si>
  <si>
    <t xml:space="preserve">Cosentyx Sensoready (2 Pens)</t>
  </si>
  <si>
    <t xml:space="preserve">Shingrix</t>
  </si>
  <si>
    <t xml:space="preserve">Kisqali</t>
  </si>
  <si>
    <t xml:space="preserve">Arexvy</t>
  </si>
  <si>
    <t xml:space="preserve">Prolia</t>
  </si>
  <si>
    <t xml:space="preserve">Epclusa</t>
  </si>
  <si>
    <t xml:space="preserve">Atorvastatin Calcium</t>
  </si>
  <si>
    <t xml:space="preserve">Tyvaso Dpi</t>
  </si>
  <si>
    <t xml:space="preserve">Trikafta</t>
  </si>
  <si>
    <t xml:space="preserve">Vascepa</t>
  </si>
  <si>
    <t xml:space="preserve">Oxervate</t>
  </si>
  <si>
    <t xml:space="preserve">Janumet</t>
  </si>
  <si>
    <t xml:space="preserve">Lantus Solostar</t>
  </si>
  <si>
    <t xml:space="preserve">Humira Pen</t>
  </si>
  <si>
    <t xml:space="preserve">Adempas</t>
  </si>
  <si>
    <t xml:space="preserve">Abiraterone Acetate</t>
  </si>
  <si>
    <t xml:space="preserve">Dupixent Syringe</t>
  </si>
  <si>
    <t xml:space="preserve">Brilinta</t>
  </si>
  <si>
    <t xml:space="preserve">Promacta</t>
  </si>
  <si>
    <t xml:space="preserve">Basaglar Kwikpen U-100</t>
  </si>
  <si>
    <t xml:space="preserve">Nuplazid</t>
  </si>
  <si>
    <t xml:space="preserve">Lumigan</t>
  </si>
  <si>
    <t xml:space="preserve">Abilify Maintena</t>
  </si>
  <si>
    <t xml:space="preserve">Enbrel</t>
  </si>
  <si>
    <t xml:space="preserve">Tivicay</t>
  </si>
  <si>
    <t xml:space="preserve">Nurtec ODT</t>
  </si>
  <si>
    <t xml:space="preserve">Tremfya*</t>
  </si>
  <si>
    <t xml:space="preserve">Symbicort</t>
  </si>
  <si>
    <t xml:space="preserve">Zenpep</t>
  </si>
  <si>
    <t xml:space="preserve">Austedo XR</t>
  </si>
  <si>
    <t xml:space="preserve">Lynparza</t>
  </si>
  <si>
    <t xml:space="preserve">Xeljanz XR</t>
  </si>
  <si>
    <t xml:space="preserve">Kesimpta Pen</t>
  </si>
  <si>
    <t xml:space="preserve">Gammagard Liquid</t>
  </si>
  <si>
    <t xml:space="preserve">Orencia Clickject</t>
  </si>
  <si>
    <t xml:space="preserve">Triumeq</t>
  </si>
  <si>
    <t xml:space="preserve">Taltz Autoinjector</t>
  </si>
  <si>
    <t xml:space="preserve">Toujeo Max Solostar</t>
  </si>
  <si>
    <t xml:space="preserve">Albuterol Sulfate HFA</t>
  </si>
  <si>
    <t xml:space="preserve">Genvoya</t>
  </si>
  <si>
    <t xml:space="preserve">Toujeo Solostar</t>
  </si>
  <si>
    <t xml:space="preserve">Invega Trinza</t>
  </si>
  <si>
    <t xml:space="preserve">All other drugs</t>
  </si>
  <si>
    <t xml:space="preserve">Total</t>
  </si>
  <si>
    <t xml:space="preserve">Share of total change: price</t>
  </si>
  <si>
    <t xml:space="preserve">Share of total change: volume + mix</t>
  </si>
  <si>
    <t xml:space="preserve">Note: row totals use drug-level volume/mix at each drug's own prior price; the identity (column M) should read 0 on every row.</t>
  </si>
  <si>
    <t xml:space="preserve">Medicare negotiated prices for 2026 (first 10 drugs): exposure and early check</t>
  </si>
  <si>
    <t xml:space="preserve">List and negotiated prices (30-day) transcribed from the CMS fact sheet: https://cms.gov/files/document/fact-sheet-negotiated-prices-initial-price-applicability-year-2026.pdf</t>
  </si>
  <si>
    <t xml:space="preserve">List price, 30 days ($)</t>
  </si>
  <si>
    <t xml:space="preserve">Negotiated price, 30 days ($)</t>
  </si>
  <si>
    <t xml:space="preserve">Cut</t>
  </si>
  <si>
    <t xml:space="preserve">2024 gross spend ($)</t>
  </si>
  <si>
    <t xml:space="preserve">Share of 2024 Part D spend</t>
  </si>
  <si>
    <t xml:space="preserve">Cut applied to 2024 spend ($)</t>
  </si>
  <si>
    <t xml:space="preserve">Spend per claim 2025 ($)</t>
  </si>
  <si>
    <t xml:space="preserve">Spend per claim Q1 2026 ($)</t>
  </si>
  <si>
    <t xml:space="preserve">Observed change</t>
  </si>
  <si>
    <t xml:space="preserve">Stelara</t>
  </si>
  <si>
    <t xml:space="preserve">Fiasp/NovoLog</t>
  </si>
  <si>
    <t xml:space="preserve">Cut as % of these drugs' spend</t>
  </si>
  <si>
    <t xml:space="preserve">Per member per month at 2024 volume ($)</t>
  </si>
  <si>
    <t xml:space="preserve">Constant-volume, gross, vs list: a ceiling, not a forecast. Rebates already paid on these drugs make the plan's net effect smaller. NovoLog's list price was already cut in 2024, so its observed drop is small.</t>
  </si>
  <si>
    <t xml:space="preserve">Gross to net: what an assumed rebate rate does to cost per member per month</t>
  </si>
  <si>
    <t xml:space="preserve">CMS does not publish rebates. The rate below is an ASSUMPTION for illustration, not a number from the data. Change the yellow cell.</t>
  </si>
  <si>
    <t xml:space="preserve">Assumed rebate rate (share of gross spend)</t>
  </si>
  <si>
    <t xml:space="preserve">2024 gross PMPM ($)</t>
  </si>
  <si>
    <t xml:space="preserve">Implied net PMPM ($)</t>
  </si>
  <si>
    <t xml:space="preserve">Implied net 2024 spend ($)</t>
  </si>
  <si>
    <t xml:space="preserve">Rebate rate</t>
  </si>
  <si>
    <t xml:space="preserve">Net PMPM ($)</t>
  </si>
  <si>
    <t xml:space="preserve">Net 2024 spend ($)</t>
  </si>
  <si>
    <t xml:space="preserve">Gross drug cost per member per month by state, 2024</t>
  </si>
  <si>
    <t xml:space="preserve">Cost is by prescriber location; member months by residence. DC is inflated by cross-border prescribing. Territories excluded.</t>
  </si>
  <si>
    <t xml:space="preserve">State</t>
  </si>
  <si>
    <t xml:space="preserve">30-day fills</t>
  </si>
  <si>
    <t xml:space="preserve">vs national</t>
  </si>
  <si>
    <t xml:space="preserve">Rank (1 = highest)</t>
  </si>
  <si>
    <t xml:space="preserve">Fills per member per month</t>
  </si>
  <si>
    <t xml:space="preserve">Cost per fill ($)</t>
  </si>
  <si>
    <t xml:space="preserve">AK</t>
  </si>
  <si>
    <t xml:space="preserve">AL</t>
  </si>
  <si>
    <t xml:space="preserve">AR</t>
  </si>
  <si>
    <t xml:space="preserve">AZ</t>
  </si>
  <si>
    <t xml:space="preserve">CA</t>
  </si>
  <si>
    <t xml:space="preserve">CO</t>
  </si>
  <si>
    <t xml:space="preserve">CT</t>
  </si>
  <si>
    <t xml:space="preserve">DC</t>
  </si>
  <si>
    <t xml:space="preserve">DE</t>
  </si>
  <si>
    <t xml:space="preserve">FL</t>
  </si>
  <si>
    <t xml:space="preserve">GA</t>
  </si>
  <si>
    <t xml:space="preserve">HI</t>
  </si>
  <si>
    <t xml:space="preserve">IA</t>
  </si>
  <si>
    <t xml:space="preserve">ID</t>
  </si>
  <si>
    <t xml:space="preserve">IL</t>
  </si>
  <si>
    <t xml:space="preserve">IN</t>
  </si>
  <si>
    <t xml:space="preserve">KS</t>
  </si>
  <si>
    <t xml:space="preserve">KY</t>
  </si>
  <si>
    <t xml:space="preserve">LA</t>
  </si>
  <si>
    <t xml:space="preserve">MA</t>
  </si>
  <si>
    <t xml:space="preserve">MD</t>
  </si>
  <si>
    <t xml:space="preserve">ME</t>
  </si>
  <si>
    <t xml:space="preserve">MI</t>
  </si>
  <si>
    <t xml:space="preserve">MN</t>
  </si>
  <si>
    <t xml:space="preserve">MO</t>
  </si>
  <si>
    <t xml:space="preserve">MS</t>
  </si>
  <si>
    <t xml:space="preserve">MT</t>
  </si>
  <si>
    <t xml:space="preserve">NC</t>
  </si>
  <si>
    <t xml:space="preserve">ND</t>
  </si>
  <si>
    <t xml:space="preserve">NE</t>
  </si>
  <si>
    <t xml:space="preserve">NH</t>
  </si>
  <si>
    <t xml:space="preserve">NJ</t>
  </si>
  <si>
    <t xml:space="preserve">NM</t>
  </si>
  <si>
    <t xml:space="preserve">NV</t>
  </si>
  <si>
    <t xml:space="preserve">NY</t>
  </si>
  <si>
    <t xml:space="preserve">OH</t>
  </si>
  <si>
    <t xml:space="preserve">OK</t>
  </si>
  <si>
    <t xml:space="preserve">OR</t>
  </si>
  <si>
    <t xml:space="preserve">PA</t>
  </si>
  <si>
    <t xml:space="preserve">RI</t>
  </si>
  <si>
    <t xml:space="preserve">SC</t>
  </si>
  <si>
    <t xml:space="preserve">SD</t>
  </si>
  <si>
    <t xml:space="preserve">TN</t>
  </si>
  <si>
    <t xml:space="preserve">TX</t>
  </si>
  <si>
    <t xml:space="preserve">UT</t>
  </si>
  <si>
    <t xml:space="preserve">VA</t>
  </si>
  <si>
    <t xml:space="preserve">VT</t>
  </si>
  <si>
    <t xml:space="preserve">WA</t>
  </si>
  <si>
    <t xml:space="preserve">WI</t>
  </si>
  <si>
    <t xml:space="preserve">WV</t>
  </si>
  <si>
    <t xml:space="preserve">WY</t>
  </si>
  <si>
    <t xml:space="preserve">Top 25 drugs by 2024 gross spend</t>
  </si>
  <si>
    <t xml:space="preserve">Rank</t>
  </si>
  <si>
    <t xml:space="preserve">Spend 2020 ($)</t>
  </si>
  <si>
    <t xml:space="preserve">Share of 2024</t>
  </si>
  <si>
    <t xml:space="preserve">Cumulative share</t>
  </si>
  <si>
    <t xml:space="preserve">Change 2020-2024 ($)</t>
  </si>
  <si>
    <t xml:space="preserve">Claims 2024</t>
  </si>
  <si>
    <t xml:space="preserve">Spend per claim 2024 ($)</t>
  </si>
  <si>
    <t xml:space="preserve">Cross-file reconciliation</t>
  </si>
  <si>
    <t xml:space="preserve">Check</t>
  </si>
  <si>
    <t xml:space="preserve">A</t>
  </si>
  <si>
    <t xml:space="preserve">B</t>
  </si>
  <si>
    <t xml:space="preserve">Difference</t>
  </si>
  <si>
    <t xml:space="preserve">Tolerance</t>
  </si>
  <si>
    <t xml:space="preserve">Result</t>
  </si>
  <si>
    <t xml:space="preserve">Spending-by-drug 2024 total vs prescriber-file national total</t>
  </si>
  <si>
    <t xml:space="preserve">Prescriber-file national total vs sum of states</t>
  </si>
  <si>
    <t xml:space="preserve">Part D enrollees: PDP + MA-PD = total (Dec 2024)</t>
  </si>
  <si>
    <t xml:space="preserve">Drug rows with CMS outlier flag, 2024 (share of rows)</t>
  </si>
  <si>
    <t xml:space="preserve">info</t>
  </si>
  <si>
    <t xml:space="preserve">Drug rows with spend but zero claims, 2024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</si>
</sst>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#,##0;\(#,##0\);\-"/>
    <numFmt numFmtId="167" formatCode="\$#,##0.00;&quot;($&quot;#,##0.00\);\-"/>
    <numFmt numFmtId="168" formatCode="#,##0.0"/>
    <numFmt numFmtId="169" formatCode="0.0%;\(0.0%\);\-"/>
    <numFmt numFmtId="170" formatCode="0.000000"/>
    <numFmt numFmtId="171" formatCode="\$#,##0.0000"/>
    <numFmt numFmtId="172" formatCode="0"/>
    <numFmt numFmtId="173" formatCode="0.00"/>
    <numFmt numFmtId="174" formatCode="0.0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16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3" t="s">
        <v>9</v>
      </c>
    </row>
    <row r="4" customFormat="false" ht="31.5" hidden="false" customHeight="tru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  <c r="L4" s="5" t="s">
        <v>21</v>
      </c>
    </row>
    <row r="5" customFormat="false" ht="15" hidden="false" customHeight="false" outlineLevel="0" collapsed="false">
      <c r="A5" s="2" t="s">
        <v>22</v>
      </c>
      <c r="B5" s="6" t="n">
        <v>194092038339.14</v>
      </c>
      <c r="C5" s="7" t="n">
        <v>1454422165</v>
      </c>
      <c r="D5" s="7" t="n">
        <v>568957457</v>
      </c>
      <c r="E5" s="8" t="n">
        <f aca="false">B5/D5</f>
        <v>341.136294025478</v>
      </c>
      <c r="F5" s="9" t="n">
        <f aca="false">C5/D5*1000</f>
        <v>2556.29335217589</v>
      </c>
      <c r="G5" s="8" t="n">
        <f aca="false">B5/C5</f>
        <v>133.449587753732</v>
      </c>
    </row>
    <row r="6" customFormat="false" ht="15" hidden="false" customHeight="false" outlineLevel="0" collapsed="false">
      <c r="A6" s="2" t="s">
        <v>23</v>
      </c>
      <c r="B6" s="6" t="n">
        <v>213513349360.93</v>
      </c>
      <c r="C6" s="7" t="n">
        <v>1483268229</v>
      </c>
      <c r="D6" s="7" t="n">
        <v>585826189</v>
      </c>
      <c r="E6" s="8" t="n">
        <f aca="false">B6/D6</f>
        <v>364.465354007808</v>
      </c>
      <c r="F6" s="9" t="n">
        <f aca="false">C6/D6*1000</f>
        <v>2531.9254359931</v>
      </c>
      <c r="G6" s="8" t="n">
        <f aca="false">B6/C6</f>
        <v>143.947901793109</v>
      </c>
      <c r="H6" s="8" t="n">
        <f aca="false">E6-E5</f>
        <v>23.3290599823304</v>
      </c>
      <c r="I6" s="10" t="n">
        <f aca="false">E6/E5-1</f>
        <v>0.0683863323572016</v>
      </c>
      <c r="J6" s="8" t="n">
        <f aca="false">H6*LN(F6/F5)/(LN(F6/F5)+LN(G6/G5))</f>
        <v>-3.37798096980204</v>
      </c>
      <c r="K6" s="8" t="n">
        <f aca="false">H6*LN(G6/G5)/(LN(F6/F5)+LN(G6/G5))</f>
        <v>26.7070409521324</v>
      </c>
      <c r="L6" s="11" t="n">
        <f aca="false">ROUND(J6+K6-H6,6)</f>
        <v>0</v>
      </c>
    </row>
    <row r="7" customFormat="false" ht="15" hidden="false" customHeight="false" outlineLevel="0" collapsed="false">
      <c r="A7" s="2" t="s">
        <v>24</v>
      </c>
      <c r="B7" s="6" t="n">
        <v>239779215689.48</v>
      </c>
      <c r="C7" s="7" t="n">
        <v>1539211134</v>
      </c>
      <c r="D7" s="7" t="n">
        <v>603661158</v>
      </c>
      <c r="E7" s="8" t="n">
        <f aca="false">B7/D7</f>
        <v>397.208288974392</v>
      </c>
      <c r="F7" s="9" t="n">
        <f aca="false">C7/D7*1000</f>
        <v>2549.79323019488</v>
      </c>
      <c r="G7" s="8" t="n">
        <f aca="false">B7/C7</f>
        <v>155.780588116172</v>
      </c>
      <c r="H7" s="8" t="n">
        <f aca="false">E7-E6</f>
        <v>32.7429349665839</v>
      </c>
      <c r="I7" s="10" t="n">
        <f aca="false">E7/E6-1</f>
        <v>0.0898382647528204</v>
      </c>
      <c r="J7" s="8" t="n">
        <f aca="false">H7*LN(F7/F6)/(LN(F7/F6)+LN(G7/G6))</f>
        <v>2.67647569478177</v>
      </c>
      <c r="K7" s="8" t="n">
        <f aca="false">H7*LN(G7/G6)/(LN(F7/F6)+LN(G7/G6))</f>
        <v>30.0664592718021</v>
      </c>
      <c r="L7" s="11" t="n">
        <f aca="false">ROUND(J7+K7-H7,6)</f>
        <v>0</v>
      </c>
    </row>
    <row r="8" customFormat="false" ht="15" hidden="false" customHeight="false" outlineLevel="0" collapsed="false">
      <c r="A8" s="2" t="s">
        <v>25</v>
      </c>
      <c r="B8" s="6" t="n">
        <v>275808918752.7</v>
      </c>
      <c r="C8" s="7" t="n">
        <v>1616688565</v>
      </c>
      <c r="D8" s="7" t="n">
        <v>622842542</v>
      </c>
      <c r="E8" s="8" t="n">
        <f aca="false">B8/D8</f>
        <v>442.82286477583</v>
      </c>
      <c r="F8" s="9" t="n">
        <f aca="false">C8/D8*1000</f>
        <v>2595.66175394615</v>
      </c>
      <c r="G8" s="8" t="n">
        <f aca="false">B8/C8</f>
        <v>170.601144044524</v>
      </c>
      <c r="H8" s="8" t="n">
        <f aca="false">E8-E7</f>
        <v>45.6145758014378</v>
      </c>
      <c r="I8" s="10" t="n">
        <f aca="false">E8/E7-1</f>
        <v>0.114837925258852</v>
      </c>
      <c r="J8" s="8" t="n">
        <f aca="false">H8*LN(F8/F7)/(LN(F8/F7)+LN(G8/G7))</f>
        <v>7.48118641076126</v>
      </c>
      <c r="K8" s="8" t="n">
        <f aca="false">H8*LN(G8/G7)/(LN(F8/F7)+LN(G8/G7))</f>
        <v>38.1333893906765</v>
      </c>
      <c r="L8" s="11" t="n">
        <f aca="false">ROUND(J8+K8-H8,6)</f>
        <v>0</v>
      </c>
    </row>
    <row r="9" customFormat="false" ht="15" hidden="false" customHeight="false" outlineLevel="0" collapsed="false">
      <c r="A9" s="2" t="s">
        <v>26</v>
      </c>
      <c r="B9" s="6" t="n">
        <v>288667842058.4</v>
      </c>
      <c r="C9" s="7" t="n">
        <v>1711657015</v>
      </c>
      <c r="D9" s="7" t="n">
        <v>652502372</v>
      </c>
      <c r="E9" s="8" t="n">
        <f aca="false">B9/D9</f>
        <v>442.401214839415</v>
      </c>
      <c r="F9" s="9" t="n">
        <f aca="false">C9/D9*1000</f>
        <v>2623.21960570589</v>
      </c>
      <c r="G9" s="8" t="n">
        <f aca="false">B9/C9</f>
        <v>168.648180989928</v>
      </c>
      <c r="H9" s="8" t="n">
        <f aca="false">E9-E8</f>
        <v>-0.42164993641444</v>
      </c>
      <c r="I9" s="10" t="n">
        <f aca="false">E9/E8-1</f>
        <v>-0.000952186460895343</v>
      </c>
      <c r="J9" s="8" t="n">
        <f aca="false">H9*LN(F9/F8)/(LN(F9/F8)+LN(G9/G8))</f>
        <v>4.67439230174089</v>
      </c>
      <c r="K9" s="8" t="n">
        <f aca="false">H9*LN(G9/G8)/(LN(F9/F8)+LN(G9/G8))</f>
        <v>-5.09604223815533</v>
      </c>
      <c r="L9" s="11" t="n">
        <f aca="false">ROUND(J9+K9-H9,6)</f>
        <v>0</v>
      </c>
    </row>
    <row r="11" customFormat="false" ht="15" hidden="false" customHeight="false" outlineLevel="0" collapsed="false">
      <c r="A11" s="12" t="s">
        <v>27</v>
      </c>
      <c r="E11" s="10" t="n">
        <f aca="false">(E9/E5)^(1/(A9-A5))-1</f>
        <v>0.0671417124229969</v>
      </c>
    </row>
    <row r="12" customFormat="false" ht="15" hidden="false" customHeight="false" outlineLevel="0" collapsed="false">
      <c r="A12" s="12" t="s">
        <v>28</v>
      </c>
      <c r="B12" s="10" t="n">
        <f aca="false">(B9/B5)^(1/(A9-A5))-1</f>
        <v>0.104326950883528</v>
      </c>
    </row>
    <row r="13" customFormat="false" ht="15" hidden="false" customHeight="false" outlineLevel="0" collapsed="false">
      <c r="A13" s="12" t="s">
        <v>29</v>
      </c>
      <c r="C13" s="10" t="n">
        <f aca="false">(C9/C5)^(1/(A9-A5))-1</f>
        <v>0.0415534576041918</v>
      </c>
    </row>
    <row r="15" customFormat="false" ht="15" hidden="false" customHeight="false" outlineLevel="0" collapsed="false">
      <c r="A15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12" min="8" style="0" width="16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3" t="s">
        <v>32</v>
      </c>
    </row>
    <row r="4" customFormat="false" ht="31.5" hidden="false" customHeight="true" outlineLevel="0" collapsed="false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43</v>
      </c>
      <c r="L4" s="4" t="s">
        <v>44</v>
      </c>
      <c r="M4" s="4" t="s">
        <v>45</v>
      </c>
    </row>
    <row r="5" customFormat="false" ht="15" hidden="false" customHeight="false" outlineLevel="0" collapsed="false">
      <c r="A5" s="2" t="s">
        <v>46</v>
      </c>
      <c r="B5" s="6" t="n">
        <v>18273451967</v>
      </c>
      <c r="C5" s="7" t="n">
        <v>1875283428.8</v>
      </c>
      <c r="D5" s="6" t="n">
        <v>20774929225</v>
      </c>
      <c r="E5" s="7" t="n">
        <v>2156238528.8</v>
      </c>
      <c r="F5" s="13" t="n">
        <f aca="false">IF(C5&gt;0,B5/C5,0)</f>
        <v>9.74436807064052</v>
      </c>
      <c r="G5" s="13" t="n">
        <f aca="false">IF(E5&gt;0,D5/E5,0)</f>
        <v>9.63480104242538</v>
      </c>
      <c r="H5" s="14" t="n">
        <f aca="false">IF(C5&gt;0,(C5*($E$107/$C$107-1)*F5),0)</f>
        <v>960406281.548643</v>
      </c>
      <c r="I5" s="14" t="n">
        <f aca="false">IF(C5&gt;0,(E5-C5*$E$107/$C$107)*F5,0)</f>
        <v>1777323624.17498</v>
      </c>
      <c r="J5" s="14" t="n">
        <f aca="false">IF(AND(C5&gt;0,E5&gt;0),E5*(G5-F5),0)</f>
        <v>-236252647.723618</v>
      </c>
      <c r="K5" s="14" t="n">
        <f aca="false">IF(C5=0,D5,0)</f>
        <v>0</v>
      </c>
      <c r="L5" s="14" t="n">
        <f aca="false">SUM(H5:K5)</f>
        <v>2501477258</v>
      </c>
      <c r="M5" s="15" t="n">
        <f aca="false">ROUND(L5-(D5-B5),0)</f>
        <v>0</v>
      </c>
    </row>
    <row r="6" customFormat="false" ht="15" hidden="false" customHeight="false" outlineLevel="0" collapsed="false">
      <c r="A6" s="2" t="s">
        <v>47</v>
      </c>
      <c r="B6" s="6" t="n">
        <v>9194048435.1</v>
      </c>
      <c r="C6" s="7" t="n">
        <v>26990261.403</v>
      </c>
      <c r="D6" s="6" t="n">
        <v>12970296347</v>
      </c>
      <c r="E6" s="7" t="n">
        <v>42324232.836</v>
      </c>
      <c r="F6" s="13" t="n">
        <f aca="false">IF(C6&gt;0,B6/C6,0)</f>
        <v>340.643178582853</v>
      </c>
      <c r="G6" s="13" t="n">
        <f aca="false">IF(E6&gt;0,D6/E6,0)</f>
        <v>306.450831542723</v>
      </c>
      <c r="H6" s="14" t="n">
        <f aca="false">IF(C6&gt;0,(C6*($E$107/$C$107-1)*F6),0)</f>
        <v>483215863.421899</v>
      </c>
      <c r="I6" s="14" t="n">
        <f aca="false">IF(C6&gt;0,(E6-C6*$E$107/$C$107)*F6,0)</f>
        <v>4740196905.81388</v>
      </c>
      <c r="J6" s="14" t="n">
        <f aca="false">IF(AND(C6&gt;0,E6&gt;0),E6*(G6-F6),0)</f>
        <v>-1447164857.33578</v>
      </c>
      <c r="K6" s="14" t="n">
        <f aca="false">IF(C6=0,D6,0)</f>
        <v>0</v>
      </c>
      <c r="L6" s="14" t="n">
        <f aca="false">SUM(H6:K6)</f>
        <v>3776247911.9</v>
      </c>
      <c r="M6" s="15" t="n">
        <f aca="false">ROUND(L6-(D6-B6),0)</f>
        <v>0</v>
      </c>
    </row>
    <row r="7" customFormat="false" ht="15" hidden="false" customHeight="false" outlineLevel="0" collapsed="false">
      <c r="A7" s="2" t="s">
        <v>48</v>
      </c>
      <c r="B7" s="6" t="n">
        <v>8839935063.3</v>
      </c>
      <c r="C7" s="7" t="n">
        <v>435253096.37</v>
      </c>
      <c r="D7" s="6" t="n">
        <v>11435997421</v>
      </c>
      <c r="E7" s="7" t="n">
        <v>604181681.71</v>
      </c>
      <c r="F7" s="13" t="n">
        <f aca="false">IF(C7&gt;0,B7/C7,0)</f>
        <v>20.3098728924041</v>
      </c>
      <c r="G7" s="13" t="n">
        <f aca="false">IF(E7&gt;0,D7/E7,0)</f>
        <v>18.9280770456876</v>
      </c>
      <c r="H7" s="14" t="n">
        <f aca="false">IF(C7&gt;0,(C7*($E$107/$C$107-1)*F7),0)</f>
        <v>464604562.871174</v>
      </c>
      <c r="I7" s="14" t="n">
        <f aca="false">IF(C7&gt;0,(E7-C7*$E$107/$C$107)*F7,0)</f>
        <v>2966313533.27786</v>
      </c>
      <c r="J7" s="14" t="n">
        <f aca="false">IF(AND(C7&gt;0,E7&gt;0),E7*(G7-F7),0)</f>
        <v>-834855738.449034</v>
      </c>
      <c r="K7" s="14" t="n">
        <f aca="false">IF(C7=0,D7,0)</f>
        <v>0</v>
      </c>
      <c r="L7" s="14" t="n">
        <f aca="false">SUM(H7:K7)</f>
        <v>2596062357.7</v>
      </c>
      <c r="M7" s="15" t="n">
        <f aca="false">ROUND(L7-(D7-B7),0)</f>
        <v>0</v>
      </c>
    </row>
    <row r="8" customFormat="false" ht="15" hidden="false" customHeight="false" outlineLevel="0" collapsed="false">
      <c r="A8" s="2" t="s">
        <v>49</v>
      </c>
      <c r="B8" s="6" t="n">
        <v>2361384157.1</v>
      </c>
      <c r="C8" s="7" t="n">
        <v>4374599.5</v>
      </c>
      <c r="D8" s="6" t="n">
        <v>6336942640.7</v>
      </c>
      <c r="E8" s="7" t="n">
        <v>12385379.501</v>
      </c>
      <c r="F8" s="13" t="n">
        <f aca="false">IF(C8&gt;0,B8/C8,0)</f>
        <v>539.794364512683</v>
      </c>
      <c r="G8" s="13" t="n">
        <f aca="false">IF(E8&gt;0,D8/E8,0)</f>
        <v>511.647030289896</v>
      </c>
      <c r="H8" s="14" t="n">
        <f aca="false">IF(C8&gt;0,(C8*($E$107/$C$107-1)*F8),0)</f>
        <v>124108361.229387</v>
      </c>
      <c r="I8" s="14" t="n">
        <f aca="false">IF(C8&gt;0,(E8-C8*$E$107/$C$107)*F8,0)</f>
        <v>4200065538.66132</v>
      </c>
      <c r="J8" s="14" t="n">
        <f aca="false">IF(AND(C8&gt;0,E8&gt;0),E8*(G8-F8),0)</f>
        <v>-348615416.290704</v>
      </c>
      <c r="K8" s="14" t="n">
        <f aca="false">IF(C8=0,D8,0)</f>
        <v>0</v>
      </c>
      <c r="L8" s="14" t="n">
        <f aca="false">SUM(H8:K8)</f>
        <v>3975558483.6</v>
      </c>
      <c r="M8" s="15" t="n">
        <f aca="false">ROUND(L8-(D8-B8),0)</f>
        <v>0</v>
      </c>
    </row>
    <row r="9" customFormat="false" ht="15" hidden="false" customHeight="false" outlineLevel="0" collapsed="false">
      <c r="A9" s="2" t="s">
        <v>50</v>
      </c>
      <c r="B9" s="6" t="n">
        <v>6309246822.6</v>
      </c>
      <c r="C9" s="7" t="n">
        <v>353267092.74</v>
      </c>
      <c r="D9" s="6" t="n">
        <v>6232231839.7</v>
      </c>
      <c r="E9" s="7" t="n">
        <v>360337521.2</v>
      </c>
      <c r="F9" s="13" t="n">
        <f aca="false">IF(C9&gt;0,B9/C9,0)</f>
        <v>17.8597071515051</v>
      </c>
      <c r="G9" s="13" t="n">
        <f aca="false">IF(E9&gt;0,D9/E9,0)</f>
        <v>17.2955395234594</v>
      </c>
      <c r="H9" s="14" t="n">
        <f aca="false">IF(C9&gt;0,(C9*($E$107/$C$107-1)*F9),0)</f>
        <v>331598008.477467</v>
      </c>
      <c r="I9" s="14" t="n">
        <f aca="false">IF(C9&gt;0,(E9-C9*$E$107/$C$107)*F9,0)</f>
        <v>-205322226.7462</v>
      </c>
      <c r="J9" s="14" t="n">
        <f aca="false">IF(AND(C9&gt;0,E9&gt;0),E9*(G9-F9),0)</f>
        <v>-203290764.631268</v>
      </c>
      <c r="K9" s="14" t="n">
        <f aca="false">IF(C9=0,D9,0)</f>
        <v>0</v>
      </c>
      <c r="L9" s="14" t="n">
        <f aca="false">SUM(H9:K9)</f>
        <v>-77014982.9000011</v>
      </c>
      <c r="M9" s="15" t="n">
        <f aca="false">ROUND(L9-(D9-B9),0)</f>
        <v>-0</v>
      </c>
    </row>
    <row r="10" customFormat="false" ht="15" hidden="false" customHeight="false" outlineLevel="0" collapsed="false">
      <c r="A10" s="2" t="s">
        <v>51</v>
      </c>
      <c r="B10" s="6" t="n">
        <v>7363856224.3</v>
      </c>
      <c r="C10" s="7" t="n">
        <v>15240416.417</v>
      </c>
      <c r="D10" s="6" t="n">
        <v>5454134725.1</v>
      </c>
      <c r="E10" s="7" t="n">
        <v>11660568.203</v>
      </c>
      <c r="F10" s="13" t="n">
        <f aca="false">IF(C10&gt;0,B10/C10,0)</f>
        <v>483.179463264924</v>
      </c>
      <c r="G10" s="13" t="n">
        <f aca="false">IF(E10&gt;0,D10/E10,0)</f>
        <v>467.741762678149</v>
      </c>
      <c r="H10" s="14" t="n">
        <f aca="false">IF(C10&gt;0,(C10*($E$107/$C$107-1)*F10),0)</f>
        <v>387025603.427893</v>
      </c>
      <c r="I10" s="14" t="n">
        <f aca="false">IF(C10&gt;0,(E10-C10*$E$107/$C$107)*F10,0)</f>
        <v>-2116734742.03831</v>
      </c>
      <c r="J10" s="14" t="n">
        <f aca="false">IF(AND(C10&gt;0,E10&gt;0),E10*(G10-F10),0)</f>
        <v>-180012360.589582</v>
      </c>
      <c r="K10" s="14" t="n">
        <f aca="false">IF(C10=0,D10,0)</f>
        <v>0</v>
      </c>
      <c r="L10" s="14" t="n">
        <f aca="false">SUM(H10:K10)</f>
        <v>-1909721499.2</v>
      </c>
      <c r="M10" s="15" t="n">
        <f aca="false">ROUND(L10-(D10-B10),0)</f>
        <v>0</v>
      </c>
    </row>
    <row r="11" customFormat="false" ht="15" hidden="false" customHeight="false" outlineLevel="0" collapsed="false">
      <c r="A11" s="2" t="s">
        <v>52</v>
      </c>
      <c r="B11" s="6" t="n">
        <v>4455884009.7</v>
      </c>
      <c r="C11" s="7" t="n">
        <v>398579165.99</v>
      </c>
      <c r="D11" s="6" t="n">
        <v>5294401776.8</v>
      </c>
      <c r="E11" s="7" t="n">
        <v>503324683.81</v>
      </c>
      <c r="F11" s="13" t="n">
        <f aca="false">IF(C11&gt;0,B11/C11,0)</f>
        <v>11.1794202755991</v>
      </c>
      <c r="G11" s="13" t="n">
        <f aca="false">IF(E11&gt;0,D11/E11,0)</f>
        <v>10.5188597879268</v>
      </c>
      <c r="H11" s="14" t="n">
        <f aca="false">IF(C11&gt;0,(C11*($E$107/$C$107-1)*F11),0)</f>
        <v>234189960.413408</v>
      </c>
      <c r="I11" s="14" t="n">
        <f aca="false">IF(C11&gt;0,(E11-C11*$E$107/$C$107)*F11,0)</f>
        <v>936804205.281631</v>
      </c>
      <c r="J11" s="14" t="n">
        <f aca="false">IF(AND(C11&gt;0,E11&gt;0),E11*(G11-F11),0)</f>
        <v>-332476398.595039</v>
      </c>
      <c r="K11" s="14" t="n">
        <f aca="false">IF(C11=0,D11,0)</f>
        <v>0</v>
      </c>
      <c r="L11" s="14" t="n">
        <f aca="false">SUM(H11:K11)</f>
        <v>838517767.1</v>
      </c>
      <c r="M11" s="15" t="n">
        <f aca="false">ROUND(L11-(D11-B11),0)</f>
        <v>0</v>
      </c>
    </row>
    <row r="12" customFormat="false" ht="15" hidden="false" customHeight="false" outlineLevel="0" collapsed="false">
      <c r="A12" s="2" t="s">
        <v>53</v>
      </c>
      <c r="B12" s="6" t="n">
        <v>4342182307.3</v>
      </c>
      <c r="C12" s="7" t="n">
        <v>222129205</v>
      </c>
      <c r="D12" s="6" t="n">
        <v>5290548963.4</v>
      </c>
      <c r="E12" s="7" t="n">
        <v>288866028.75</v>
      </c>
      <c r="F12" s="13" t="n">
        <f aca="false">IF(C12&gt;0,B12/C12,0)</f>
        <v>19.5480027369656</v>
      </c>
      <c r="G12" s="13" t="n">
        <f aca="false">IF(E12&gt;0,D12/E12,0)</f>
        <v>18.3148879994425</v>
      </c>
      <c r="H12" s="14" t="n">
        <f aca="false">IF(C12&gt;0,(C12*($E$107/$C$107-1)*F12),0)</f>
        <v>228214087.359704</v>
      </c>
      <c r="I12" s="14" t="n">
        <f aca="false">IF(C12&gt;0,(E12-C12*$E$107/$C$107)*F12,0)</f>
        <v>1076357525.96169</v>
      </c>
      <c r="J12" s="14" t="n">
        <f aca="false">IF(AND(C12&gt;0,E12&gt;0),E12*(G12-F12),0)</f>
        <v>-356204957.221393</v>
      </c>
      <c r="K12" s="14" t="n">
        <f aca="false">IF(C12=0,D12,0)</f>
        <v>0</v>
      </c>
      <c r="L12" s="14" t="n">
        <f aca="false">SUM(H12:K12)</f>
        <v>948366656.1</v>
      </c>
      <c r="M12" s="15" t="n">
        <f aca="false">ROUND(L12-(D12-B12),0)</f>
        <v>0</v>
      </c>
    </row>
    <row r="13" customFormat="false" ht="15" hidden="false" customHeight="false" outlineLevel="0" collapsed="false">
      <c r="A13" s="2" t="s">
        <v>54</v>
      </c>
      <c r="B13" s="6" t="n">
        <v>4419828188.3</v>
      </c>
      <c r="C13" s="7" t="n">
        <v>1182524.4</v>
      </c>
      <c r="D13" s="6" t="n">
        <v>4328698864.2</v>
      </c>
      <c r="E13" s="7" t="n">
        <v>1229464.94</v>
      </c>
      <c r="F13" s="13" t="n">
        <f aca="false">IF(C13&gt;0,B13/C13,0)</f>
        <v>3737.62113348359</v>
      </c>
      <c r="G13" s="13" t="n">
        <f aca="false">IF(E13&gt;0,D13/E13,0)</f>
        <v>3520.79894543394</v>
      </c>
      <c r="H13" s="14" t="n">
        <f aca="false">IF(C13&gt;0,(C13*($E$107/$C$107-1)*F13),0)</f>
        <v>232294957.90258</v>
      </c>
      <c r="I13" s="14" t="n">
        <f aca="false">IF(C13&gt;0,(E13-C13*$E$107/$C$107)*F13,0)</f>
        <v>-56849003.5814473</v>
      </c>
      <c r="J13" s="14" t="n">
        <f aca="false">IF(AND(C13&gt;0,E13&gt;0),E13*(G13-F13),0)</f>
        <v>-266575278.421132</v>
      </c>
      <c r="K13" s="14" t="n">
        <f aca="false">IF(C13=0,D13,0)</f>
        <v>0</v>
      </c>
      <c r="L13" s="14" t="n">
        <f aca="false">SUM(H13:K13)</f>
        <v>-91129324.0999995</v>
      </c>
      <c r="M13" s="15" t="n">
        <f aca="false">ROUND(L13-(D13-B13),0)</f>
        <v>0</v>
      </c>
    </row>
    <row r="14" customFormat="false" ht="15" hidden="false" customHeight="false" outlineLevel="0" collapsed="false">
      <c r="A14" s="2" t="s">
        <v>55</v>
      </c>
      <c r="B14" s="6" t="n">
        <v>3859804788.6</v>
      </c>
      <c r="C14" s="7" t="n">
        <v>4395154</v>
      </c>
      <c r="D14" s="6" t="n">
        <v>4179511486.3</v>
      </c>
      <c r="E14" s="7" t="n">
        <v>4888867</v>
      </c>
      <c r="F14" s="13" t="n">
        <f aca="false">IF(C14&gt;0,B14/C14,0)</f>
        <v>878.195573715961</v>
      </c>
      <c r="G14" s="13" t="n">
        <f aca="false">IF(E14&gt;0,D14/E14,0)</f>
        <v>854.903904381117</v>
      </c>
      <c r="H14" s="14" t="n">
        <f aca="false">IF(C14&gt;0,(C14*($E$107/$C$107-1)*F14),0)</f>
        <v>202861548.612567</v>
      </c>
      <c r="I14" s="14" t="n">
        <f aca="false">IF(C14&gt;0,(E14-C14*$E$107/$C$107)*F14,0)</f>
        <v>230715022.673462</v>
      </c>
      <c r="J14" s="14" t="n">
        <f aca="false">IF(AND(C14&gt;0,E14&gt;0),E14*(G14-F14),0)</f>
        <v>-113869873.586028</v>
      </c>
      <c r="K14" s="14" t="n">
        <f aca="false">IF(C14=0,D14,0)</f>
        <v>0</v>
      </c>
      <c r="L14" s="14" t="n">
        <f aca="false">SUM(H14:K14)</f>
        <v>319706697.7</v>
      </c>
      <c r="M14" s="15" t="n">
        <f aca="false">ROUND(L14-(D14-B14),0)</f>
        <v>0</v>
      </c>
    </row>
    <row r="15" customFormat="false" ht="15" hidden="false" customHeight="false" outlineLevel="0" collapsed="false">
      <c r="A15" s="2" t="s">
        <v>56</v>
      </c>
      <c r="B15" s="6" t="n">
        <v>3430441590.4</v>
      </c>
      <c r="C15" s="7" t="n">
        <v>294653475.5</v>
      </c>
      <c r="D15" s="6" t="n">
        <v>4020321686.4</v>
      </c>
      <c r="E15" s="7" t="n">
        <v>364166283.49</v>
      </c>
      <c r="F15" s="13" t="n">
        <f aca="false">IF(C15&gt;0,B15/C15,0)</f>
        <v>11.6422912866677</v>
      </c>
      <c r="G15" s="13" t="n">
        <f aca="false">IF(E15&gt;0,D15/E15,0)</f>
        <v>11.0397965673019</v>
      </c>
      <c r="H15" s="14" t="n">
        <f aca="false">IF(C15&gt;0,(C15*($E$107/$C$107-1)*F15),0)</f>
        <v>180295308.070726</v>
      </c>
      <c r="I15" s="14" t="n">
        <f aca="false">IF(C15&gt;0,(E15-C15*$E$107/$C$107)*F15,0)</f>
        <v>628993050.703055</v>
      </c>
      <c r="J15" s="14" t="n">
        <f aca="false">IF(AND(C15&gt;0,E15&gt;0),E15*(G15-F15),0)</f>
        <v>-219408262.773781</v>
      </c>
      <c r="K15" s="14" t="n">
        <f aca="false">IF(C15=0,D15,0)</f>
        <v>0</v>
      </c>
      <c r="L15" s="14" t="n">
        <f aca="false">SUM(H15:K15)</f>
        <v>589880095.999999</v>
      </c>
      <c r="M15" s="15" t="n">
        <f aca="false">ROUND(L15-(D15-B15),0)</f>
        <v>0</v>
      </c>
    </row>
    <row r="16" customFormat="false" ht="15" hidden="false" customHeight="false" outlineLevel="0" collapsed="false">
      <c r="A16" s="2" t="s">
        <v>57</v>
      </c>
      <c r="B16" s="6" t="n">
        <v>4090836820.7</v>
      </c>
      <c r="C16" s="7" t="n">
        <v>216685586.11</v>
      </c>
      <c r="D16" s="6" t="n">
        <v>3807854661.8</v>
      </c>
      <c r="E16" s="7" t="n">
        <v>211984297.51</v>
      </c>
      <c r="F16" s="13" t="n">
        <f aca="false">IF(C16&gt;0,B16/C16,0)</f>
        <v>18.8791367904984</v>
      </c>
      <c r="G16" s="13" t="n">
        <f aca="false">IF(E16&gt;0,D16/E16,0)</f>
        <v>17.9629090764158</v>
      </c>
      <c r="H16" s="14" t="n">
        <f aca="false">IF(C16&gt;0,(C16*($E$107/$C$107-1)*F16),0)</f>
        <v>215004006.166207</v>
      </c>
      <c r="I16" s="14" t="n">
        <f aca="false">IF(C16&gt;0,(E16-C16*$E$107/$C$107)*F16,0)</f>
        <v>-303760276.737218</v>
      </c>
      <c r="J16" s="14" t="n">
        <f aca="false">IF(AND(C16&gt;0,E16&gt;0),E16*(G16-F16),0)</f>
        <v>-194225888.328988</v>
      </c>
      <c r="K16" s="14" t="n">
        <f aca="false">IF(C16=0,D16,0)</f>
        <v>0</v>
      </c>
      <c r="L16" s="14" t="n">
        <f aca="false">SUM(H16:K16)</f>
        <v>-282982158.899999</v>
      </c>
      <c r="M16" s="15" t="n">
        <f aca="false">ROUND(L16-(D16-B16),0)</f>
        <v>0</v>
      </c>
    </row>
    <row r="17" customFormat="false" ht="15" hidden="false" customHeight="false" outlineLevel="0" collapsed="false">
      <c r="A17" s="2" t="s">
        <v>58</v>
      </c>
      <c r="B17" s="6" t="n">
        <v>3152256268.6</v>
      </c>
      <c r="C17" s="7" t="n">
        <v>23678920.5</v>
      </c>
      <c r="D17" s="6" t="n">
        <v>3456061331.1</v>
      </c>
      <c r="E17" s="7" t="n">
        <v>26315902.8</v>
      </c>
      <c r="F17" s="13" t="n">
        <f aca="false">IF(C17&gt;0,B17/C17,0)</f>
        <v>133.124999030256</v>
      </c>
      <c r="G17" s="13" t="n">
        <f aca="false">IF(E17&gt;0,D17/E17,0)</f>
        <v>131.3297650233</v>
      </c>
      <c r="H17" s="14" t="n">
        <f aca="false">IF(C17&gt;0,(C17*($E$107/$C$107-1)*F17),0)</f>
        <v>165674593.223097</v>
      </c>
      <c r="I17" s="14" t="n">
        <f aca="false">IF(C17&gt;0,(E17-C17*$E$107/$C$107)*F17,0)</f>
        <v>185373672.907204</v>
      </c>
      <c r="J17" s="14" t="n">
        <f aca="false">IF(AND(C17&gt;0,E17&gt;0),E17*(G17-F17),0)</f>
        <v>-47243203.6303014</v>
      </c>
      <c r="K17" s="14" t="n">
        <f aca="false">IF(C17=0,D17,0)</f>
        <v>0</v>
      </c>
      <c r="L17" s="14" t="n">
        <f aca="false">SUM(H17:K17)</f>
        <v>303805062.5</v>
      </c>
      <c r="M17" s="15" t="n">
        <f aca="false">ROUND(L17-(D17-B17),0)</f>
        <v>0</v>
      </c>
    </row>
    <row r="18" customFormat="false" ht="15" hidden="false" customHeight="false" outlineLevel="0" collapsed="false">
      <c r="A18" s="2" t="s">
        <v>59</v>
      </c>
      <c r="B18" s="6" t="n">
        <v>2601510278.2</v>
      </c>
      <c r="C18" s="7" t="n">
        <v>19311687</v>
      </c>
      <c r="D18" s="6" t="n">
        <v>3400769228.6</v>
      </c>
      <c r="E18" s="7" t="n">
        <v>24915219</v>
      </c>
      <c r="F18" s="13" t="n">
        <f aca="false">IF(C18&gt;0,B18/C18,0)</f>
        <v>134.711704793061</v>
      </c>
      <c r="G18" s="13" t="n">
        <f aca="false">IF(E18&gt;0,D18/E18,0)</f>
        <v>136.493651875988</v>
      </c>
      <c r="H18" s="14" t="n">
        <f aca="false">IF(C18&gt;0,(C18*($E$107/$C$107-1)*F18),0)</f>
        <v>136728781.032105</v>
      </c>
      <c r="I18" s="14" t="n">
        <f aca="false">IF(C18&gt;0,(E18-C18*$E$107/$C$107)*F18,0)</f>
        <v>618132567.550367</v>
      </c>
      <c r="J18" s="14" t="n">
        <f aca="false">IF(AND(C18&gt;0,E18&gt;0),E18*(G18-F18),0)</f>
        <v>44397601.8175279</v>
      </c>
      <c r="K18" s="14" t="n">
        <f aca="false">IF(C18=0,D18,0)</f>
        <v>0</v>
      </c>
      <c r="L18" s="14" t="n">
        <f aca="false">SUM(H18:K18)</f>
        <v>799258950.4</v>
      </c>
      <c r="M18" s="15" t="n">
        <f aca="false">ROUND(L18-(D18-B18),0)</f>
        <v>0</v>
      </c>
    </row>
    <row r="19" customFormat="false" ht="15" hidden="false" customHeight="false" outlineLevel="0" collapsed="false">
      <c r="A19" s="2" t="s">
        <v>60</v>
      </c>
      <c r="B19" s="6" t="n">
        <v>2987778599.9</v>
      </c>
      <c r="C19" s="7" t="n">
        <v>238312.01</v>
      </c>
      <c r="D19" s="6" t="n">
        <v>3378017374.1</v>
      </c>
      <c r="E19" s="7" t="n">
        <v>245387.5</v>
      </c>
      <c r="F19" s="13" t="n">
        <f aca="false">IF(C19&gt;0,B19/C19,0)</f>
        <v>12537.2556754483</v>
      </c>
      <c r="G19" s="13" t="n">
        <f aca="false">IF(E19&gt;0,D19/E19,0)</f>
        <v>13766.0531775253</v>
      </c>
      <c r="H19" s="14" t="n">
        <f aca="false">IF(C19&gt;0,(C19*($E$107/$C$107-1)*F19),0)</f>
        <v>157030064.182868</v>
      </c>
      <c r="I19" s="14" t="n">
        <f aca="false">IF(C19&gt;0,(E19-C19*$E$107/$C$107)*F19,0)</f>
        <v>-68322837.0237902</v>
      </c>
      <c r="J19" s="14" t="n">
        <f aca="false">IF(AND(C19&gt;0,E19&gt;0),E19*(G19-F19),0)</f>
        <v>301531547.040922</v>
      </c>
      <c r="K19" s="14" t="n">
        <f aca="false">IF(C19=0,D19,0)</f>
        <v>0</v>
      </c>
      <c r="L19" s="14" t="n">
        <f aca="false">SUM(H19:K19)</f>
        <v>390238774.2</v>
      </c>
      <c r="M19" s="15" t="n">
        <f aca="false">ROUND(L19-(D19-B19),0)</f>
        <v>0</v>
      </c>
    </row>
    <row r="20" customFormat="false" ht="15" hidden="false" customHeight="false" outlineLevel="0" collapsed="false">
      <c r="A20" s="2" t="s">
        <v>61</v>
      </c>
      <c r="B20" s="6" t="n">
        <v>1349659508.2</v>
      </c>
      <c r="C20" s="7" t="n">
        <v>1835099</v>
      </c>
      <c r="D20" s="6" t="n">
        <v>2830811857.1</v>
      </c>
      <c r="E20" s="7" t="n">
        <v>3805207</v>
      </c>
      <c r="F20" s="13" t="n">
        <f aca="false">IF(C20&gt;0,B20/C20,0)</f>
        <v>735.469589488088</v>
      </c>
      <c r="G20" s="13" t="n">
        <f aca="false">IF(E20&gt;0,D20/E20,0)</f>
        <v>743.931107322151</v>
      </c>
      <c r="H20" s="14" t="n">
        <f aca="false">IF(C20&gt;0,(C20*($E$107/$C$107-1)*F20),0)</f>
        <v>70934680.101383</v>
      </c>
      <c r="I20" s="14" t="n">
        <f aca="false">IF(C20&gt;0,(E20-C20*$E$107/$C$107)*F20,0)</f>
        <v>1378019841.90581</v>
      </c>
      <c r="J20" s="14" t="n">
        <f aca="false">IF(AND(C20&gt;0,E20&gt;0),E20*(G20-F20),0)</f>
        <v>32197826.8928026</v>
      </c>
      <c r="K20" s="14" t="n">
        <f aca="false">IF(C20=0,D20,0)</f>
        <v>0</v>
      </c>
      <c r="L20" s="14" t="n">
        <f aca="false">SUM(H20:K20)</f>
        <v>1481152348.9</v>
      </c>
      <c r="M20" s="15" t="n">
        <f aca="false">ROUND(L20-(D20-B20),0)</f>
        <v>0</v>
      </c>
    </row>
    <row r="21" customFormat="false" ht="15" hidden="false" customHeight="false" outlineLevel="0" collapsed="false">
      <c r="A21" s="2" t="s">
        <v>62</v>
      </c>
      <c r="B21" s="6" t="n">
        <v>1681292156.6</v>
      </c>
      <c r="C21" s="7" t="n">
        <v>2463368</v>
      </c>
      <c r="D21" s="6" t="n">
        <v>2640854799.8</v>
      </c>
      <c r="E21" s="7" t="n">
        <v>4026025.999</v>
      </c>
      <c r="F21" s="13" t="n">
        <f aca="false">IF(C21&gt;0,B21/C21,0)</f>
        <v>682.51765736991</v>
      </c>
      <c r="G21" s="13" t="n">
        <f aca="false">IF(E21&gt;0,D21/E21,0)</f>
        <v>655.945788838906</v>
      </c>
      <c r="H21" s="14" t="n">
        <f aca="false">IF(C21&gt;0,(C21*($E$107/$C$107-1)*F21),0)</f>
        <v>88364450.8565285</v>
      </c>
      <c r="I21" s="14" t="n">
        <f aca="false">IF(C21&gt;0,(E21-C21*$E$107/$C$107)*F21,0)</f>
        <v>978177225.891302</v>
      </c>
      <c r="J21" s="14" t="n">
        <f aca="false">IF(AND(C21&gt;0,E21&gt;0),E21*(G21-F21),0)</f>
        <v>-106979033.54783</v>
      </c>
      <c r="K21" s="14" t="n">
        <f aca="false">IF(C21=0,D21,0)</f>
        <v>0</v>
      </c>
      <c r="L21" s="14" t="n">
        <f aca="false">SUM(H21:K21)</f>
        <v>959562643.200001</v>
      </c>
      <c r="M21" s="15" t="n">
        <f aca="false">ROUND(L21-(D21-B21),0)</f>
        <v>0</v>
      </c>
    </row>
    <row r="22" customFormat="false" ht="15" hidden="false" customHeight="false" outlineLevel="0" collapsed="false">
      <c r="A22" s="2" t="s">
        <v>63</v>
      </c>
      <c r="B22" s="6" t="n">
        <v>2054858498.8</v>
      </c>
      <c r="C22" s="7" t="n">
        <v>1133801.14</v>
      </c>
      <c r="D22" s="6" t="n">
        <v>2337152869.1</v>
      </c>
      <c r="E22" s="7" t="n">
        <v>1283282.2</v>
      </c>
      <c r="F22" s="13" t="n">
        <f aca="false">IF(C22&gt;0,B22/C22,0)</f>
        <v>1812.36235024424</v>
      </c>
      <c r="G22" s="13" t="n">
        <f aca="false">IF(E22&gt;0,D22/E22,0)</f>
        <v>1821.23064521584</v>
      </c>
      <c r="H22" s="14" t="n">
        <f aca="false">IF(C22&gt;0,(C22*($E$107/$C$107-1)*F22),0)</f>
        <v>107998150.185585</v>
      </c>
      <c r="I22" s="14" t="n">
        <f aca="false">IF(C22&gt;0,(E22-C22*$E$107/$C$107)*F22,0)</f>
        <v>162915695.033016</v>
      </c>
      <c r="J22" s="14" t="n">
        <f aca="false">IF(AND(C22&gt;0,E22&gt;0),E22*(G22-F22),0)</f>
        <v>11380525.0813995</v>
      </c>
      <c r="K22" s="14" t="n">
        <f aca="false">IF(C22=0,D22,0)</f>
        <v>0</v>
      </c>
      <c r="L22" s="14" t="n">
        <f aca="false">SUM(H22:K22)</f>
        <v>282294370.3</v>
      </c>
      <c r="M22" s="15" t="n">
        <f aca="false">ROUND(L22-(D22-B22),0)</f>
        <v>0</v>
      </c>
    </row>
    <row r="23" customFormat="false" ht="15" hidden="false" customHeight="false" outlineLevel="0" collapsed="false">
      <c r="A23" s="2" t="s">
        <v>64</v>
      </c>
      <c r="B23" s="6" t="n">
        <v>2510288599.9</v>
      </c>
      <c r="C23" s="7" t="n">
        <v>162854788.1</v>
      </c>
      <c r="D23" s="6" t="n">
        <v>2297067833.5</v>
      </c>
      <c r="E23" s="7" t="n">
        <v>153836676.95</v>
      </c>
      <c r="F23" s="13" t="n">
        <f aca="false">IF(C23&gt;0,B23/C23,0)</f>
        <v>15.4142756819564</v>
      </c>
      <c r="G23" s="13" t="n">
        <f aca="false">IF(E23&gt;0,D23/E23,0)</f>
        <v>14.9318607177571</v>
      </c>
      <c r="H23" s="14" t="n">
        <f aca="false">IF(C23&gt;0,(C23*($E$107/$C$107-1)*F23),0)</f>
        <v>131934401.020548</v>
      </c>
      <c r="I23" s="14" t="n">
        <f aca="false">IF(C23&gt;0,(E23-C23*$E$107/$C$107)*F23,0)</f>
        <v>-270942052.417174</v>
      </c>
      <c r="J23" s="14" t="n">
        <f aca="false">IF(AND(C23&gt;0,E23&gt;0),E23*(G23-F23),0)</f>
        <v>-74213115.0033747</v>
      </c>
      <c r="K23" s="14" t="n">
        <f aca="false">IF(C23=0,D23,0)</f>
        <v>0</v>
      </c>
      <c r="L23" s="14" t="n">
        <f aca="false">SUM(H23:K23)</f>
        <v>-213220766.4</v>
      </c>
      <c r="M23" s="15" t="n">
        <f aca="false">ROUND(L23-(D23-B23),0)</f>
        <v>0</v>
      </c>
    </row>
    <row r="24" customFormat="false" ht="15" hidden="false" customHeight="false" outlineLevel="0" collapsed="false">
      <c r="A24" s="2" t="s">
        <v>65</v>
      </c>
      <c r="B24" s="6" t="n">
        <v>2371893291.7</v>
      </c>
      <c r="C24" s="7" t="n">
        <v>5656766</v>
      </c>
      <c r="D24" s="6" t="n">
        <v>2266252031.7</v>
      </c>
      <c r="E24" s="7" t="n">
        <v>5501472</v>
      </c>
      <c r="F24" s="13" t="n">
        <f aca="false">IF(C24&gt;0,B24/C24,0)</f>
        <v>419.301999004378</v>
      </c>
      <c r="G24" s="13" t="n">
        <f aca="false">IF(E24&gt;0,D24/E24,0)</f>
        <v>411.935575006107</v>
      </c>
      <c r="H24" s="14" t="n">
        <f aca="false">IF(C24&gt;0,(C24*($E$107/$C$107-1)*F24),0)</f>
        <v>124660694.685688</v>
      </c>
      <c r="I24" s="14" t="n">
        <f aca="false">IF(C24&gt;0,(E24-C24*$E$107/$C$107)*F24,0)</f>
        <v>-189775779.319073</v>
      </c>
      <c r="J24" s="14" t="n">
        <f aca="false">IF(AND(C24&gt;0,E24&gt;0),E24*(G24-F24),0)</f>
        <v>-40526175.3666143</v>
      </c>
      <c r="K24" s="14" t="n">
        <f aca="false">IF(C24=0,D24,0)</f>
        <v>0</v>
      </c>
      <c r="L24" s="14" t="n">
        <f aca="false">SUM(H24:K24)</f>
        <v>-105641260</v>
      </c>
      <c r="M24" s="15" t="n">
        <f aca="false">ROUND(L24-(D24-B24),0)</f>
        <v>0</v>
      </c>
    </row>
    <row r="25" customFormat="false" ht="15" hidden="false" customHeight="false" outlineLevel="0" collapsed="false">
      <c r="A25" s="2" t="s">
        <v>66</v>
      </c>
      <c r="B25" s="6" t="n">
        <v>1709288465.2</v>
      </c>
      <c r="C25" s="7" t="n">
        <v>1569928</v>
      </c>
      <c r="D25" s="6" t="n">
        <v>2150231814.6</v>
      </c>
      <c r="E25" s="7" t="n">
        <v>1964117</v>
      </c>
      <c r="F25" s="13" t="n">
        <f aca="false">IF(C25&gt;0,B25/C25,0)</f>
        <v>1088.76869843713</v>
      </c>
      <c r="G25" s="13" t="n">
        <f aca="false">IF(E25&gt;0,D25/E25,0)</f>
        <v>1094.75749896773</v>
      </c>
      <c r="H25" s="14" t="n">
        <f aca="false">IF(C25&gt;0,(C25*($E$107/$C$107-1)*F25),0)</f>
        <v>89835865.8189653</v>
      </c>
      <c r="I25" s="14" t="n">
        <f aca="false">IF(C25&gt;0,(E25-C25*$E$107/$C$107)*F25,0)</f>
        <v>339344778.649267</v>
      </c>
      <c r="J25" s="14" t="n">
        <f aca="false">IF(AND(C25&gt;0,E25&gt;0),E25*(G25-F25),0)</f>
        <v>11762704.9317676</v>
      </c>
      <c r="K25" s="14" t="n">
        <f aca="false">IF(C25=0,D25,0)</f>
        <v>0</v>
      </c>
      <c r="L25" s="14" t="n">
        <f aca="false">SUM(H25:K25)</f>
        <v>440943349.4</v>
      </c>
      <c r="M25" s="15" t="n">
        <f aca="false">ROUND(L25-(D25-B25),0)</f>
        <v>0</v>
      </c>
    </row>
    <row r="26" customFormat="false" ht="15" hidden="false" customHeight="false" outlineLevel="0" collapsed="false">
      <c r="A26" s="2" t="s">
        <v>67</v>
      </c>
      <c r="B26" s="6" t="n">
        <v>1837061150.2</v>
      </c>
      <c r="C26" s="7" t="n">
        <v>8318453</v>
      </c>
      <c r="D26" s="6" t="n">
        <v>2086398978.9</v>
      </c>
      <c r="E26" s="7" t="n">
        <v>9639091</v>
      </c>
      <c r="F26" s="13" t="n">
        <f aca="false">IF(C26&gt;0,B26/C26,0)</f>
        <v>220.841681764626</v>
      </c>
      <c r="G26" s="13" t="n">
        <f aca="false">IF(E26&gt;0,D26/E26,0)</f>
        <v>216.451839587364</v>
      </c>
      <c r="H26" s="14" t="n">
        <f aca="false">IF(C26&gt;0,(C26*($E$107/$C$107-1)*F26),0)</f>
        <v>96551274.024593</v>
      </c>
      <c r="I26" s="14" t="n">
        <f aca="false">IF(C26&gt;0,(E26-C26*$E$107/$C$107)*F26,0)</f>
        <v>195100642.89768</v>
      </c>
      <c r="J26" s="14" t="n">
        <f aca="false">IF(AND(C26&gt;0,E26&gt;0),E26*(G26-F26),0)</f>
        <v>-42314088.2222724</v>
      </c>
      <c r="K26" s="14" t="n">
        <f aca="false">IF(C26=0,D26,0)</f>
        <v>0</v>
      </c>
      <c r="L26" s="14" t="n">
        <f aca="false">SUM(H26:K26)</f>
        <v>249337828.7</v>
      </c>
      <c r="M26" s="15" t="n">
        <f aca="false">ROUND(L26-(D26-B26),0)</f>
        <v>0</v>
      </c>
    </row>
    <row r="27" customFormat="false" ht="15" hidden="false" customHeight="false" outlineLevel="0" collapsed="false">
      <c r="A27" s="2" t="s">
        <v>68</v>
      </c>
      <c r="B27" s="6" t="n">
        <v>1940765068.5</v>
      </c>
      <c r="C27" s="7" t="n">
        <v>6515344</v>
      </c>
      <c r="D27" s="6" t="n">
        <v>2082741189.3</v>
      </c>
      <c r="E27" s="7" t="n">
        <v>7342885</v>
      </c>
      <c r="F27" s="13" t="n">
        <f aca="false">IF(C27&gt;0,B27/C27,0)</f>
        <v>297.876070473025</v>
      </c>
      <c r="G27" s="13" t="n">
        <f aca="false">IF(E27&gt;0,D27/E27,0)</f>
        <v>283.640720139291</v>
      </c>
      <c r="H27" s="14" t="n">
        <f aca="false">IF(C27&gt;0,(C27*($E$107/$C$107-1)*F27),0)</f>
        <v>102001688.907145</v>
      </c>
      <c r="I27" s="14" t="n">
        <f aca="false">IF(C27&gt;0,(E27-C27*$E$107/$C$107)*F27,0)</f>
        <v>144502972.328173</v>
      </c>
      <c r="J27" s="14" t="n">
        <f aca="false">IF(AND(C27&gt;0,E27&gt;0),E27*(G27-F27),0)</f>
        <v>-104528540.435317</v>
      </c>
      <c r="K27" s="14" t="n">
        <f aca="false">IF(C27=0,D27,0)</f>
        <v>0</v>
      </c>
      <c r="L27" s="14" t="n">
        <f aca="false">SUM(H27:K27)</f>
        <v>141976120.8</v>
      </c>
      <c r="M27" s="15" t="n">
        <f aca="false">ROUND(L27-(D27-B27),0)</f>
        <v>0</v>
      </c>
    </row>
    <row r="28" customFormat="false" ht="15" hidden="false" customHeight="false" outlineLevel="0" collapsed="false">
      <c r="A28" s="2" t="s">
        <v>69</v>
      </c>
      <c r="B28" s="6" t="n">
        <v>2020903604.2</v>
      </c>
      <c r="C28" s="7" t="n">
        <v>2683726</v>
      </c>
      <c r="D28" s="6" t="n">
        <v>2035022061.3</v>
      </c>
      <c r="E28" s="7" t="n">
        <v>2734327</v>
      </c>
      <c r="F28" s="13" t="n">
        <f aca="false">IF(C28&gt;0,B28/C28,0)</f>
        <v>753.021584245188</v>
      </c>
      <c r="G28" s="13" t="n">
        <f aca="false">IF(E28&gt;0,D28/E28,0)</f>
        <v>744.249704333096</v>
      </c>
      <c r="H28" s="14" t="n">
        <f aca="false">IF(C28&gt;0,(C28*($E$107/$C$107-1)*F28),0)</f>
        <v>106213567.057993</v>
      </c>
      <c r="I28" s="14" t="n">
        <f aca="false">IF(C28&gt;0,(E28-C28*$E$107/$C$107)*F28,0)</f>
        <v>-68109921.8736024</v>
      </c>
      <c r="J28" s="14" t="n">
        <f aca="false">IF(AND(C28&gt;0,E28&gt;0),E28*(G28-F28),0)</f>
        <v>-23985188.0843908</v>
      </c>
      <c r="K28" s="14" t="n">
        <f aca="false">IF(C28=0,D28,0)</f>
        <v>0</v>
      </c>
      <c r="L28" s="14" t="n">
        <f aca="false">SUM(H28:K28)</f>
        <v>14118457.1</v>
      </c>
      <c r="M28" s="15" t="n">
        <f aca="false">ROUND(L28-(D28-B28),0)</f>
        <v>0</v>
      </c>
    </row>
    <row r="29" customFormat="false" ht="15" hidden="false" customHeight="false" outlineLevel="0" collapsed="false">
      <c r="A29" s="2" t="s">
        <v>70</v>
      </c>
      <c r="B29" s="6" t="n">
        <v>1825245843.2</v>
      </c>
      <c r="C29" s="7" t="n">
        <v>100595813.5</v>
      </c>
      <c r="D29" s="6" t="n">
        <v>1981958629.2</v>
      </c>
      <c r="E29" s="7" t="n">
        <v>112066899</v>
      </c>
      <c r="F29" s="13" t="n">
        <f aca="false">IF(C29&gt;0,B29/C29,0)</f>
        <v>18.1443519336916</v>
      </c>
      <c r="G29" s="13" t="n">
        <f aca="false">IF(E29&gt;0,D29/E29,0)</f>
        <v>17.6854954218016</v>
      </c>
      <c r="H29" s="14" t="n">
        <f aca="false">IF(C29&gt;0,(C29*($E$107/$C$107-1)*F29),0)</f>
        <v>95930291.4602851</v>
      </c>
      <c r="I29" s="14" t="n">
        <f aca="false">IF(C29&gt;0,(E29-C29*$E$107/$C$107)*F29,0)</f>
        <v>112205120.913181</v>
      </c>
      <c r="J29" s="14" t="n">
        <f aca="false">IF(AND(C29&gt;0,E29&gt;0),E29*(G29-F29),0)</f>
        <v>-51422626.3734663</v>
      </c>
      <c r="K29" s="14" t="n">
        <f aca="false">IF(C29=0,D29,0)</f>
        <v>0</v>
      </c>
      <c r="L29" s="14" t="n">
        <f aca="false">SUM(H29:K29)</f>
        <v>156712786</v>
      </c>
      <c r="M29" s="15" t="n">
        <f aca="false">ROUND(L29-(D29-B29),0)</f>
        <v>0</v>
      </c>
    </row>
    <row r="30" customFormat="false" ht="15" hidden="false" customHeight="false" outlineLevel="0" collapsed="false">
      <c r="A30" s="2" t="s">
        <v>71</v>
      </c>
      <c r="B30" s="6" t="n">
        <v>1705132722.7</v>
      </c>
      <c r="C30" s="7" t="n">
        <v>6369804</v>
      </c>
      <c r="D30" s="6" t="n">
        <v>1956616318.8</v>
      </c>
      <c r="E30" s="7" t="n">
        <v>7168169</v>
      </c>
      <c r="F30" s="13" t="n">
        <f aca="false">IF(C30&gt;0,B30/C30,0)</f>
        <v>267.689982721603</v>
      </c>
      <c r="G30" s="13" t="n">
        <f aca="false">IF(E30&gt;0,D30/E30,0)</f>
        <v>272.959010704128</v>
      </c>
      <c r="H30" s="14" t="n">
        <f aca="false">IF(C30&gt;0,(C30*($E$107/$C$107-1)*F30),0)</f>
        <v>89617450.5349398</v>
      </c>
      <c r="I30" s="14" t="n">
        <f aca="false">IF(C30&gt;0,(E30-C30*$E$107/$C$107)*F30,0)</f>
        <v>124096862.520593</v>
      </c>
      <c r="J30" s="14" t="n">
        <f aca="false">IF(AND(C30&gt;0,E30&gt;0),E30*(G30-F30),0)</f>
        <v>37769283.0444672</v>
      </c>
      <c r="K30" s="14" t="n">
        <f aca="false">IF(C30=0,D30,0)</f>
        <v>0</v>
      </c>
      <c r="L30" s="14" t="n">
        <f aca="false">SUM(H30:K30)</f>
        <v>251483596.1</v>
      </c>
      <c r="M30" s="15" t="n">
        <f aca="false">ROUND(L30-(D30-B30),0)</f>
        <v>0</v>
      </c>
    </row>
    <row r="31" customFormat="false" ht="15" hidden="false" customHeight="false" outlineLevel="0" collapsed="false">
      <c r="A31" s="2" t="s">
        <v>72</v>
      </c>
      <c r="B31" s="6" t="n">
        <v>1665906943.3</v>
      </c>
      <c r="C31" s="7" t="n">
        <v>51408381.197</v>
      </c>
      <c r="D31" s="6" t="n">
        <v>1890082026</v>
      </c>
      <c r="E31" s="7" t="n">
        <v>61789646.39</v>
      </c>
      <c r="F31" s="13" t="n">
        <f aca="false">IF(C31&gt;0,B31/C31,0)</f>
        <v>32.4053569575775</v>
      </c>
      <c r="G31" s="13" t="n">
        <f aca="false">IF(E31&gt;0,D31/E31,0)</f>
        <v>30.5889762513011</v>
      </c>
      <c r="H31" s="14" t="n">
        <f aca="false">IF(C31&gt;0,(C31*($E$107/$C$107-1)*F31),0)</f>
        <v>87555843.0727901</v>
      </c>
      <c r="I31" s="14" t="n">
        <f aca="false">IF(C31&gt;0,(E31-C31*$E$107/$C$107)*F31,0)</f>
        <v>248852761.17765</v>
      </c>
      <c r="J31" s="14" t="n">
        <f aca="false">IF(AND(C31&gt;0,E31&gt;0),E31*(G31-F31),0)</f>
        <v>-112233521.55044</v>
      </c>
      <c r="K31" s="14" t="n">
        <f aca="false">IF(C31=0,D31,0)</f>
        <v>0</v>
      </c>
      <c r="L31" s="14" t="n">
        <f aca="false">SUM(H31:K31)</f>
        <v>224175082.7</v>
      </c>
      <c r="M31" s="15" t="n">
        <f aca="false">ROUND(L31-(D31-B31),0)</f>
        <v>0</v>
      </c>
    </row>
    <row r="32" customFormat="false" ht="15" hidden="false" customHeight="false" outlineLevel="0" collapsed="false">
      <c r="A32" s="2" t="s">
        <v>73</v>
      </c>
      <c r="B32" s="6" t="n">
        <v>1821418393.2</v>
      </c>
      <c r="C32" s="7" t="n">
        <v>777287.372</v>
      </c>
      <c r="D32" s="6" t="n">
        <v>1878155857.4</v>
      </c>
      <c r="E32" s="7" t="n">
        <v>798027.35</v>
      </c>
      <c r="F32" s="13" t="n">
        <f aca="false">IF(C32&gt;0,B32/C32,0)</f>
        <v>2343.3011506586</v>
      </c>
      <c r="G32" s="13" t="n">
        <f aca="false">IF(E32&gt;0,D32/E32,0)</f>
        <v>2353.49810680048</v>
      </c>
      <c r="H32" s="14" t="n">
        <f aca="false">IF(C32&gt;0,(C32*($E$107/$C$107-1)*F32),0)</f>
        <v>95729130.3972877</v>
      </c>
      <c r="I32" s="14" t="n">
        <f aca="false">IF(C32&gt;0,(E32-C32*$E$107/$C$107)*F32,0)</f>
        <v>-47129116.0852535</v>
      </c>
      <c r="J32" s="14" t="n">
        <f aca="false">IF(AND(C32&gt;0,E32&gt;0),E32*(G32-F32),0)</f>
        <v>8137449.88796567</v>
      </c>
      <c r="K32" s="14" t="n">
        <f aca="false">IF(C32=0,D32,0)</f>
        <v>0</v>
      </c>
      <c r="L32" s="14" t="n">
        <f aca="false">SUM(H32:K32)</f>
        <v>56737464.1999999</v>
      </c>
      <c r="M32" s="15" t="n">
        <f aca="false">ROUND(L32-(D32-B32),0)</f>
        <v>0</v>
      </c>
    </row>
    <row r="33" customFormat="false" ht="15" hidden="false" customHeight="false" outlineLevel="0" collapsed="false">
      <c r="A33" s="2" t="s">
        <v>74</v>
      </c>
      <c r="B33" s="6" t="n">
        <v>1081417350.8</v>
      </c>
      <c r="C33" s="7" t="n">
        <v>1144006.56</v>
      </c>
      <c r="D33" s="6" t="n">
        <v>1804653435.9</v>
      </c>
      <c r="E33" s="7" t="n">
        <v>1903445.06</v>
      </c>
      <c r="F33" s="13" t="n">
        <f aca="false">IF(C33&gt;0,B33/C33,0)</f>
        <v>945.28946652194</v>
      </c>
      <c r="G33" s="13" t="n">
        <f aca="false">IF(E33&gt;0,D33/E33,0)</f>
        <v>948.098515593615</v>
      </c>
      <c r="H33" s="14" t="n">
        <f aca="false">IF(C33&gt;0,(C33*($E$107/$C$107-1)*F33),0)</f>
        <v>56836552.7520262</v>
      </c>
      <c r="I33" s="14" t="n">
        <f aca="false">IF(C33&gt;0,(E33-C33*$E$107/$C$107)*F33,0)</f>
        <v>661052661.769196</v>
      </c>
      <c r="J33" s="14" t="n">
        <f aca="false">IF(AND(C33&gt;0,E33&gt;0),E33*(G33-F33),0)</f>
        <v>5346870.57877773</v>
      </c>
      <c r="K33" s="14" t="n">
        <f aca="false">IF(C33=0,D33,0)</f>
        <v>0</v>
      </c>
      <c r="L33" s="14" t="n">
        <f aca="false">SUM(H33:K33)</f>
        <v>723236085.1</v>
      </c>
      <c r="M33" s="15" t="n">
        <f aca="false">ROUND(L33-(D33-B33),0)</f>
        <v>0</v>
      </c>
    </row>
    <row r="34" customFormat="false" ht="15" hidden="false" customHeight="false" outlineLevel="0" collapsed="false">
      <c r="A34" s="2" t="s">
        <v>75</v>
      </c>
      <c r="B34" s="6" t="n">
        <v>1189321832.6</v>
      </c>
      <c r="C34" s="7" t="n">
        <v>57752</v>
      </c>
      <c r="D34" s="6" t="n">
        <v>1781294228.5</v>
      </c>
      <c r="E34" s="7" t="n">
        <v>86243</v>
      </c>
      <c r="F34" s="13" t="n">
        <f aca="false">IF(C34&gt;0,B34/C34,0)</f>
        <v>20593.6042492035</v>
      </c>
      <c r="G34" s="13" t="n">
        <f aca="false">IF(E34&gt;0,D34/E34,0)</f>
        <v>20654.3630033742</v>
      </c>
      <c r="H34" s="14" t="n">
        <f aca="false">IF(C34&gt;0,(C34*($E$107/$C$107-1)*F34),0)</f>
        <v>62507738.5966669</v>
      </c>
      <c r="I34" s="14" t="n">
        <f aca="false">IF(C34&gt;0,(E34-C34*$E$107/$C$107)*F34,0)</f>
        <v>524224640.06739</v>
      </c>
      <c r="J34" s="14" t="n">
        <f aca="false">IF(AND(C34&gt;0,E34&gt;0),E34*(G34-F34),0)</f>
        <v>5240017.23594335</v>
      </c>
      <c r="K34" s="14" t="n">
        <f aca="false">IF(C34=0,D34,0)</f>
        <v>0</v>
      </c>
      <c r="L34" s="14" t="n">
        <f aca="false">SUM(H34:K34)</f>
        <v>591972395.9</v>
      </c>
      <c r="M34" s="15" t="n">
        <f aca="false">ROUND(L34-(D34-B34),0)</f>
        <v>0</v>
      </c>
    </row>
    <row r="35" customFormat="false" ht="15" hidden="false" customHeight="false" outlineLevel="0" collapsed="false">
      <c r="A35" s="2" t="s">
        <v>76</v>
      </c>
      <c r="B35" s="6" t="n">
        <v>801426530.79</v>
      </c>
      <c r="C35" s="7" t="n">
        <v>6546529</v>
      </c>
      <c r="D35" s="6" t="n">
        <v>1724363413.8</v>
      </c>
      <c r="E35" s="7" t="n">
        <v>14214858</v>
      </c>
      <c r="F35" s="13" t="n">
        <f aca="false">IF(C35&gt;0,B35/C35,0)</f>
        <v>122.420068831895</v>
      </c>
      <c r="G35" s="13" t="n">
        <f aca="false">IF(E35&gt;0,D35/E35,0)</f>
        <v>121.307114977863</v>
      </c>
      <c r="H35" s="14" t="n">
        <f aca="false">IF(C35&gt;0,(C35*($E$107/$C$107-1)*F35),0)</f>
        <v>42120945.4984446</v>
      </c>
      <c r="I35" s="14" t="n">
        <f aca="false">IF(C35&gt;0,(E35-C35*$E$107/$C$107)*F35,0)</f>
        <v>896636418.507176</v>
      </c>
      <c r="J35" s="14" t="n">
        <f aca="false">IF(AND(C35&gt;0,E35&gt;0),E35*(G35-F35),0)</f>
        <v>-15820480.9956204</v>
      </c>
      <c r="K35" s="14" t="n">
        <f aca="false">IF(C35=0,D35,0)</f>
        <v>0</v>
      </c>
      <c r="L35" s="14" t="n">
        <f aca="false">SUM(H35:K35)</f>
        <v>922936883.01</v>
      </c>
      <c r="M35" s="15" t="n">
        <f aca="false">ROUND(L35-(D35-B35),0)</f>
        <v>0</v>
      </c>
    </row>
    <row r="36" customFormat="false" ht="15" hidden="false" customHeight="false" outlineLevel="0" collapsed="false">
      <c r="A36" s="2" t="s">
        <v>77</v>
      </c>
      <c r="B36" s="6" t="n">
        <v>1092066184.1</v>
      </c>
      <c r="C36" s="7" t="n">
        <v>3812892</v>
      </c>
      <c r="D36" s="6" t="n">
        <v>1709589708.1</v>
      </c>
      <c r="E36" s="7" t="n">
        <v>6342524.28</v>
      </c>
      <c r="F36" s="13" t="n">
        <f aca="false">IF(C36&gt;0,B36/C36,0)</f>
        <v>286.414140264135</v>
      </c>
      <c r="G36" s="13" t="n">
        <f aca="false">IF(E36&gt;0,D36/E36,0)</f>
        <v>269.544054169549</v>
      </c>
      <c r="H36" s="14" t="n">
        <f aca="false">IF(C36&gt;0,(C36*($E$107/$C$107-1)*F36),0)</f>
        <v>57396228.4176286</v>
      </c>
      <c r="I36" s="14" t="n">
        <f aca="false">IF(C36&gt;0,(E36-C36*$E$107/$C$107)*F36,0)</f>
        <v>667126226.242976</v>
      </c>
      <c r="J36" s="14" t="n">
        <f aca="false">IF(AND(C36&gt;0,E36&gt;0),E36*(G36-F36),0)</f>
        <v>-106998930.660605</v>
      </c>
      <c r="K36" s="14" t="n">
        <f aca="false">IF(C36=0,D36,0)</f>
        <v>0</v>
      </c>
      <c r="L36" s="14" t="n">
        <f aca="false">SUM(H36:K36)</f>
        <v>617523524</v>
      </c>
      <c r="M36" s="15" t="n">
        <f aca="false">ROUND(L36-(D36-B36),0)</f>
        <v>0</v>
      </c>
    </row>
    <row r="37" customFormat="false" ht="15" hidden="false" customHeight="false" outlineLevel="0" collapsed="false">
      <c r="A37" s="2" t="s">
        <v>78</v>
      </c>
      <c r="B37" s="6" t="n">
        <v>1286819830.1</v>
      </c>
      <c r="C37" s="7" t="n">
        <v>5027500</v>
      </c>
      <c r="D37" s="6" t="n">
        <v>1701974920.8</v>
      </c>
      <c r="E37" s="7" t="n">
        <v>6844352</v>
      </c>
      <c r="F37" s="13" t="n">
        <f aca="false">IF(C37&gt;0,B37/C37,0)</f>
        <v>255.956206882148</v>
      </c>
      <c r="G37" s="13" t="n">
        <f aca="false">IF(E37&gt;0,D37/E37,0)</f>
        <v>248.668525639827</v>
      </c>
      <c r="H37" s="14" t="n">
        <f aca="false">IF(C37&gt;0,(C37*($E$107/$C$107-1)*F37),0)</f>
        <v>67631986.0243841</v>
      </c>
      <c r="I37" s="14" t="n">
        <f aca="false">IF(C37&gt;0,(E37-C37*$E$107/$C$107)*F37,0)</f>
        <v>397402560.361861</v>
      </c>
      <c r="J37" s="14" t="n">
        <f aca="false">IF(AND(C37&gt;0,E37&gt;0),E37*(G37-F37),0)</f>
        <v>-49879455.6862447</v>
      </c>
      <c r="K37" s="14" t="n">
        <f aca="false">IF(C37=0,D37,0)</f>
        <v>0</v>
      </c>
      <c r="L37" s="14" t="n">
        <f aca="false">SUM(H37:K37)</f>
        <v>415155090.7</v>
      </c>
      <c r="M37" s="15" t="n">
        <f aca="false">ROUND(L37-(D37-B37),0)</f>
        <v>0</v>
      </c>
    </row>
    <row r="38" customFormat="false" ht="15" hidden="false" customHeight="false" outlineLevel="0" collapsed="false">
      <c r="A38" s="2" t="s">
        <v>79</v>
      </c>
      <c r="B38" s="6" t="n">
        <v>1231962204</v>
      </c>
      <c r="C38" s="7" t="n">
        <v>2163426</v>
      </c>
      <c r="D38" s="6" t="n">
        <v>1627109177.4</v>
      </c>
      <c r="E38" s="7" t="n">
        <v>2940042</v>
      </c>
      <c r="F38" s="13" t="n">
        <f aca="false">IF(C38&gt;0,B38/C38,0)</f>
        <v>569.449661786444</v>
      </c>
      <c r="G38" s="13" t="n">
        <f aca="false">IF(E38&gt;0,D38/E38,0)</f>
        <v>553.430589563006</v>
      </c>
      <c r="H38" s="14" t="n">
        <f aca="false">IF(C38&gt;0,(C38*($E$107/$C$107-1)*F38),0)</f>
        <v>64748808.3526211</v>
      </c>
      <c r="I38" s="14" t="n">
        <f aca="false">IF(C38&gt;0,(E38-C38*$E$107/$C$107)*F38,0)</f>
        <v>377494910.18532</v>
      </c>
      <c r="J38" s="14" t="n">
        <f aca="false">IF(AND(C38&gt;0,E38&gt;0),E38*(G38-F38),0)</f>
        <v>-47096745.1379411</v>
      </c>
      <c r="K38" s="14" t="n">
        <f aca="false">IF(C38=0,D38,0)</f>
        <v>0</v>
      </c>
      <c r="L38" s="14" t="n">
        <f aca="false">SUM(H38:K38)</f>
        <v>395146973.4</v>
      </c>
      <c r="M38" s="15" t="n">
        <f aca="false">ROUND(L38-(D38-B38),0)</f>
        <v>0</v>
      </c>
    </row>
    <row r="39" customFormat="false" ht="15" hidden="false" customHeight="false" outlineLevel="0" collapsed="false">
      <c r="A39" s="2" t="s">
        <v>80</v>
      </c>
      <c r="B39" s="6" t="n">
        <v>1466866602.5</v>
      </c>
      <c r="C39" s="7" t="n">
        <v>162431874.04</v>
      </c>
      <c r="D39" s="6" t="n">
        <v>1493447099.7</v>
      </c>
      <c r="E39" s="7" t="n">
        <v>166272568</v>
      </c>
      <c r="F39" s="13" t="n">
        <f aca="false">IF(C39&gt;0,B39/C39,0)</f>
        <v>9.03065738279159</v>
      </c>
      <c r="G39" s="13" t="n">
        <f aca="false">IF(E39&gt;0,D39/E39,0)</f>
        <v>8.98192117716014</v>
      </c>
      <c r="H39" s="14" t="n">
        <f aca="false">IF(C39&gt;0,(C39*($E$107/$C$107-1)*F39),0)</f>
        <v>77094787.6613048</v>
      </c>
      <c r="I39" s="14" t="n">
        <f aca="false">IF(C39&gt;0,(E39-C39*$E$107/$C$107)*F39,0)</f>
        <v>-42410796.3963877</v>
      </c>
      <c r="J39" s="14" t="n">
        <f aca="false">IF(AND(C39&gt;0,E39&gt;0),E39*(G39-F39),0)</f>
        <v>-8103494.06491718</v>
      </c>
      <c r="K39" s="14" t="n">
        <f aca="false">IF(C39=0,D39,0)</f>
        <v>0</v>
      </c>
      <c r="L39" s="14" t="n">
        <f aca="false">SUM(H39:K39)</f>
        <v>26580497.1999998</v>
      </c>
      <c r="M39" s="15" t="n">
        <f aca="false">ROUND(L39-(D39-B39),0)</f>
        <v>-0</v>
      </c>
    </row>
    <row r="40" customFormat="false" ht="15" hidden="false" customHeight="false" outlineLevel="0" collapsed="false">
      <c r="A40" s="2" t="s">
        <v>81</v>
      </c>
      <c r="B40" s="6" t="n">
        <v>1057789083.3</v>
      </c>
      <c r="C40" s="7" t="n">
        <v>7909683</v>
      </c>
      <c r="D40" s="6" t="n">
        <v>1386301873.3</v>
      </c>
      <c r="E40" s="7" t="n">
        <v>8737751</v>
      </c>
      <c r="F40" s="13" t="n">
        <f aca="false">IF(C40&gt;0,B40/C40,0)</f>
        <v>133.733435752103</v>
      </c>
      <c r="G40" s="13" t="n">
        <f aca="false">IF(E40&gt;0,D40/E40,0)</f>
        <v>158.656600914812</v>
      </c>
      <c r="H40" s="14" t="n">
        <f aca="false">IF(C40&gt;0,(C40*($E$107/$C$107-1)*F40),0)</f>
        <v>55594710.949498</v>
      </c>
      <c r="I40" s="14" t="n">
        <f aca="false">IF(C40&gt;0,(E40-C40*$E$107/$C$107)*F40,0)</f>
        <v>55145667.7268743</v>
      </c>
      <c r="J40" s="14" t="n">
        <f aca="false">IF(AND(C40&gt;0,E40&gt;0),E40*(G40-F40),0)</f>
        <v>217772411.323628</v>
      </c>
      <c r="K40" s="14" t="n">
        <f aca="false">IF(C40=0,D40,0)</f>
        <v>0</v>
      </c>
      <c r="L40" s="14" t="n">
        <f aca="false">SUM(H40:K40)</f>
        <v>328512790</v>
      </c>
      <c r="M40" s="15" t="n">
        <f aca="false">ROUND(L40-(D40-B40),0)</f>
        <v>0</v>
      </c>
    </row>
    <row r="41" customFormat="false" ht="15" hidden="false" customHeight="false" outlineLevel="0" collapsed="false">
      <c r="A41" s="2" t="s">
        <v>82</v>
      </c>
      <c r="B41" s="6" t="n">
        <v>976330770.88</v>
      </c>
      <c r="C41" s="7" t="n">
        <v>4463287</v>
      </c>
      <c r="D41" s="6" t="n">
        <v>1385459851.4</v>
      </c>
      <c r="E41" s="7" t="n">
        <v>6353645</v>
      </c>
      <c r="F41" s="13" t="n">
        <f aca="false">IF(C41&gt;0,B41/C41,0)</f>
        <v>218.747029012474</v>
      </c>
      <c r="G41" s="13" t="n">
        <f aca="false">IF(E41&gt;0,D41/E41,0)</f>
        <v>218.057485333222</v>
      </c>
      <c r="H41" s="14" t="n">
        <f aca="false">IF(C41&gt;0,(C41*($E$107/$C$107-1)*F41),0)</f>
        <v>51313468.6820928</v>
      </c>
      <c r="I41" s="14" t="n">
        <f aca="false">IF(C41&gt;0,(E41-C41*$E$107/$C$107)*F41,0)</f>
        <v>362196727.58787</v>
      </c>
      <c r="J41" s="14" t="n">
        <f aca="false">IF(AND(C41&gt;0,E41&gt;0),E41*(G41-F41),0)</f>
        <v>-4381115.74996295</v>
      </c>
      <c r="K41" s="14" t="n">
        <f aca="false">IF(C41=0,D41,0)</f>
        <v>0</v>
      </c>
      <c r="L41" s="14" t="n">
        <f aca="false">SUM(H41:K41)</f>
        <v>409129080.52</v>
      </c>
      <c r="M41" s="15" t="n">
        <f aca="false">ROUND(L41-(D41-B41),0)</f>
        <v>0</v>
      </c>
    </row>
    <row r="42" customFormat="false" ht="15" hidden="false" customHeight="false" outlineLevel="0" collapsed="false">
      <c r="A42" s="2" t="s">
        <v>83</v>
      </c>
      <c r="B42" s="6" t="n">
        <v>1373600714.1</v>
      </c>
      <c r="C42" s="7" t="n">
        <v>198042424.4</v>
      </c>
      <c r="D42" s="6" t="n">
        <v>1360528640.6</v>
      </c>
      <c r="E42" s="7" t="n">
        <v>209324595</v>
      </c>
      <c r="F42" s="13" t="n">
        <f aca="false">IF(C42&gt;0,B42/C42,0)</f>
        <v>6.93589122765758</v>
      </c>
      <c r="G42" s="13" t="n">
        <f aca="false">IF(E42&gt;0,D42/E42,0)</f>
        <v>6.49961195720933</v>
      </c>
      <c r="H42" s="14" t="n">
        <f aca="false">IF(C42&gt;0,(C42*($E$107/$C$107-1)*F42),0)</f>
        <v>72192969.1523917</v>
      </c>
      <c r="I42" s="14" t="n">
        <f aca="false">IF(C42&gt;0,(E42-C42*$E$107/$C$107)*F42,0)</f>
        <v>6058938.94108473</v>
      </c>
      <c r="J42" s="14" t="n">
        <f aca="false">IF(AND(C42&gt;0,E42&gt;0),E42*(G42-F42),0)</f>
        <v>-91323981.5934764</v>
      </c>
      <c r="K42" s="14" t="n">
        <f aca="false">IF(C42=0,D42,0)</f>
        <v>0</v>
      </c>
      <c r="L42" s="14" t="n">
        <f aca="false">SUM(H42:K42)</f>
        <v>-13072073.5</v>
      </c>
      <c r="M42" s="15" t="n">
        <f aca="false">ROUND(L42-(D42-B42),0)</f>
        <v>0</v>
      </c>
    </row>
    <row r="43" customFormat="false" ht="15" hidden="false" customHeight="false" outlineLevel="0" collapsed="false">
      <c r="A43" s="2" t="s">
        <v>84</v>
      </c>
      <c r="B43" s="6" t="n">
        <v>1501664198.2</v>
      </c>
      <c r="C43" s="7" t="n">
        <v>132524538.5</v>
      </c>
      <c r="D43" s="6" t="n">
        <v>1289753141.8</v>
      </c>
      <c r="E43" s="7" t="n">
        <v>126466065</v>
      </c>
      <c r="F43" s="13" t="n">
        <f aca="false">IF(C43&gt;0,B43/C43,0)</f>
        <v>11.3312162049144</v>
      </c>
      <c r="G43" s="13" t="n">
        <f aca="false">IF(E43&gt;0,D43/E43,0)</f>
        <v>10.1984128453748</v>
      </c>
      <c r="H43" s="14" t="n">
        <f aca="false">IF(C43&gt;0,(C43*($E$107/$C$107-1)*F43),0)</f>
        <v>78923661.0210522</v>
      </c>
      <c r="I43" s="14" t="n">
        <f aca="false">IF(C43&gt;0,(E43-C43*$E$107/$C$107)*F43,0)</f>
        <v>-147573534.121296</v>
      </c>
      <c r="J43" s="14" t="n">
        <f aca="false">IF(AND(C43&gt;0,E43&gt;0),E43*(G43-F43),0)</f>
        <v>-143261183.299756</v>
      </c>
      <c r="K43" s="14" t="n">
        <f aca="false">IF(C43=0,D43,0)</f>
        <v>0</v>
      </c>
      <c r="L43" s="14" t="n">
        <f aca="false">SUM(H43:K43)</f>
        <v>-211911056.4</v>
      </c>
      <c r="M43" s="15" t="n">
        <f aca="false">ROUND(L43-(D43-B43),0)</f>
        <v>0</v>
      </c>
    </row>
    <row r="44" customFormat="false" ht="15" hidden="false" customHeight="false" outlineLevel="0" collapsed="false">
      <c r="A44" s="2" t="s">
        <v>85</v>
      </c>
      <c r="B44" s="6" t="n">
        <v>1018837122.8</v>
      </c>
      <c r="C44" s="7" t="n">
        <v>2399203</v>
      </c>
      <c r="D44" s="6" t="n">
        <v>1231721758.3</v>
      </c>
      <c r="E44" s="7" t="n">
        <v>2930637</v>
      </c>
      <c r="F44" s="13" t="n">
        <f aca="false">IF(C44&gt;0,B44/C44,0)</f>
        <v>424.65648917578</v>
      </c>
      <c r="G44" s="13" t="n">
        <f aca="false">IF(E44&gt;0,D44/E44,0)</f>
        <v>420.291478712649</v>
      </c>
      <c r="H44" s="14" t="n">
        <f aca="false">IF(C44&gt;0,(C44*($E$107/$C$107-1)*F44),0)</f>
        <v>53547494.7141423</v>
      </c>
      <c r="I44" s="14" t="n">
        <f aca="false">IF(C44&gt;0,(E44-C44*$E$107/$C$107)*F44,0)</f>
        <v>172129401.954499</v>
      </c>
      <c r="J44" s="14" t="n">
        <f aca="false">IF(AND(C44&gt;0,E44&gt;0),E44*(G44-F44),0)</f>
        <v>-12792261.1686417</v>
      </c>
      <c r="K44" s="14" t="n">
        <f aca="false">IF(C44=0,D44,0)</f>
        <v>0</v>
      </c>
      <c r="L44" s="14" t="n">
        <f aca="false">SUM(H44:K44)</f>
        <v>212884635.5</v>
      </c>
      <c r="M44" s="15" t="n">
        <f aca="false">ROUND(L44-(D44-B44),0)</f>
        <v>0</v>
      </c>
    </row>
    <row r="45" customFormat="false" ht="15" hidden="false" customHeight="false" outlineLevel="0" collapsed="false">
      <c r="A45" s="2" t="s">
        <v>86</v>
      </c>
      <c r="B45" s="6" t="n">
        <v>1109315042</v>
      </c>
      <c r="C45" s="7" t="n">
        <v>1263204</v>
      </c>
      <c r="D45" s="6" t="n">
        <v>1216725023</v>
      </c>
      <c r="E45" s="7" t="n">
        <v>1471566</v>
      </c>
      <c r="F45" s="13" t="n">
        <f aca="false">IF(C45&gt;0,B45/C45,0)</f>
        <v>878.175688170715</v>
      </c>
      <c r="G45" s="13" t="n">
        <f aca="false">IF(E45&gt;0,D45/E45,0)</f>
        <v>826.823277379336</v>
      </c>
      <c r="H45" s="14" t="n">
        <f aca="false">IF(C45&gt;0,(C45*($E$107/$C$107-1)*F45),0)</f>
        <v>58302784.6340795</v>
      </c>
      <c r="I45" s="14" t="n">
        <f aca="false">IF(C45&gt;0,(E45-C45*$E$107/$C$107)*F45,0)</f>
        <v>124675658.104547</v>
      </c>
      <c r="J45" s="14" t="n">
        <f aca="false">IF(AND(C45&gt;0,E45&gt;0),E45*(G45-F45),0)</f>
        <v>-75568461.7386267</v>
      </c>
      <c r="K45" s="14" t="n">
        <f aca="false">IF(C45=0,D45,0)</f>
        <v>0</v>
      </c>
      <c r="L45" s="14" t="n">
        <f aca="false">SUM(H45:K45)</f>
        <v>107409981</v>
      </c>
      <c r="M45" s="15" t="n">
        <f aca="false">ROUND(L45-(D45-B45),0)</f>
        <v>0</v>
      </c>
    </row>
    <row r="46" customFormat="false" ht="15" hidden="false" customHeight="false" outlineLevel="0" collapsed="false">
      <c r="A46" s="2" t="s">
        <v>87</v>
      </c>
      <c r="B46" s="6" t="n">
        <v>1090110101.4</v>
      </c>
      <c r="C46" s="7" t="n">
        <v>19848575.889</v>
      </c>
      <c r="D46" s="6" t="n">
        <v>1158111408.6</v>
      </c>
      <c r="E46" s="7" t="n">
        <v>21359909.97</v>
      </c>
      <c r="F46" s="13" t="n">
        <f aca="false">IF(C46&gt;0,B46/C46,0)</f>
        <v>54.9213257160749</v>
      </c>
      <c r="G46" s="13" t="n">
        <f aca="false">IF(E46&gt;0,D46/E46,0)</f>
        <v>54.2189274311815</v>
      </c>
      <c r="H46" s="14" t="n">
        <f aca="false">IF(C46&gt;0,(C46*($E$107/$C$107-1)*F46),0)</f>
        <v>57293421.6728657</v>
      </c>
      <c r="I46" s="14" t="n">
        <f aca="false">IF(C46&gt;0,(E46-C46*$E$107/$C$107)*F46,0)</f>
        <v>25711049.6555399</v>
      </c>
      <c r="J46" s="14" t="n">
        <f aca="false">IF(AND(C46&gt;0,E46&gt;0),E46*(G46-F46),0)</f>
        <v>-15003164.1284059</v>
      </c>
      <c r="K46" s="14" t="n">
        <f aca="false">IF(C46=0,D46,0)</f>
        <v>0</v>
      </c>
      <c r="L46" s="14" t="n">
        <f aca="false">SUM(H46:K46)</f>
        <v>68001307.1999998</v>
      </c>
      <c r="M46" s="15" t="n">
        <f aca="false">ROUND(L46-(D46-B46),0)</f>
        <v>0</v>
      </c>
    </row>
    <row r="47" customFormat="false" ht="15" hidden="false" customHeight="false" outlineLevel="0" collapsed="false">
      <c r="A47" s="2" t="s">
        <v>88</v>
      </c>
      <c r="B47" s="6" t="n">
        <v>935653082.16</v>
      </c>
      <c r="C47" s="7" t="n">
        <v>19167941.733</v>
      </c>
      <c r="D47" s="6" t="n">
        <v>1135973310</v>
      </c>
      <c r="E47" s="7" t="n">
        <v>23309776.199</v>
      </c>
      <c r="F47" s="13" t="n">
        <f aca="false">IF(C47&gt;0,B47/C47,0)</f>
        <v>48.8134352239373</v>
      </c>
      <c r="G47" s="13" t="n">
        <f aca="false">IF(E47&gt;0,D47/E47,0)</f>
        <v>48.7337716287784</v>
      </c>
      <c r="H47" s="14" t="n">
        <f aca="false">IF(C47&gt;0,(C47*($E$107/$C$107-1)*F47),0)</f>
        <v>49175552.5491082</v>
      </c>
      <c r="I47" s="14" t="n">
        <f aca="false">IF(C47&gt;0,(E47-C47*$E$107/$C$107)*F47,0)</f>
        <v>153001615.865254</v>
      </c>
      <c r="J47" s="14" t="n">
        <f aca="false">IF(AND(C47&gt;0,E47&gt;0),E47*(G47-F47),0)</f>
        <v>-1856940.57436199</v>
      </c>
      <c r="K47" s="14" t="n">
        <f aca="false">IF(C47=0,D47,0)</f>
        <v>0</v>
      </c>
      <c r="L47" s="14" t="n">
        <f aca="false">SUM(H47:K47)</f>
        <v>200320227.84</v>
      </c>
      <c r="M47" s="15" t="n">
        <f aca="false">ROUND(L47-(D47-B47),0)</f>
        <v>0</v>
      </c>
    </row>
    <row r="48" customFormat="false" ht="15" hidden="false" customHeight="false" outlineLevel="0" collapsed="false">
      <c r="A48" s="2" t="s">
        <v>89</v>
      </c>
      <c r="B48" s="6" t="n">
        <v>795861627.32</v>
      </c>
      <c r="C48" s="7" t="n">
        <v>12860975.708</v>
      </c>
      <c r="D48" s="6" t="n">
        <v>1130105761.4</v>
      </c>
      <c r="E48" s="7" t="n">
        <v>19474953.156</v>
      </c>
      <c r="F48" s="13" t="n">
        <f aca="false">IF(C48&gt;0,B48/C48,0)</f>
        <v>61.8819011395026</v>
      </c>
      <c r="G48" s="13" t="n">
        <f aca="false">IF(E48&gt;0,D48/E48,0)</f>
        <v>58.0286767494395</v>
      </c>
      <c r="H48" s="14" t="n">
        <f aca="false">IF(C48&gt;0,(C48*($E$107/$C$107-1)*F48),0)</f>
        <v>41828468.2884215</v>
      </c>
      <c r="I48" s="14" t="n">
        <f aca="false">IF(C48&gt;0,(E48-C48*$E$107/$C$107)*F48,0)</f>
        <v>367457030.287614</v>
      </c>
      <c r="J48" s="14" t="n">
        <f aca="false">IF(AND(C48&gt;0,E48&gt;0),E48*(G48-F48),0)</f>
        <v>-75041364.4960354</v>
      </c>
      <c r="K48" s="14" t="n">
        <f aca="false">IF(C48=0,D48,0)</f>
        <v>0</v>
      </c>
      <c r="L48" s="14" t="n">
        <f aca="false">SUM(H48:K48)</f>
        <v>334244134.08</v>
      </c>
      <c r="M48" s="15" t="n">
        <f aca="false">ROUND(L48-(D48-B48),0)</f>
        <v>0</v>
      </c>
    </row>
    <row r="49" customFormat="false" ht="15" hidden="false" customHeight="false" outlineLevel="0" collapsed="false">
      <c r="A49" s="2" t="s">
        <v>90</v>
      </c>
      <c r="B49" s="6" t="n">
        <v>1293567778.3</v>
      </c>
      <c r="C49" s="7" t="n">
        <v>71687221.889</v>
      </c>
      <c r="D49" s="6" t="n">
        <v>1127598446.4</v>
      </c>
      <c r="E49" s="7" t="n">
        <v>68079768</v>
      </c>
      <c r="F49" s="13" t="n">
        <f aca="false">IF(C49&gt;0,B49/C49,0)</f>
        <v>18.0446074518406</v>
      </c>
      <c r="G49" s="13" t="n">
        <f aca="false">IF(E49&gt;0,D49/E49,0)</f>
        <v>16.5629008371474</v>
      </c>
      <c r="H49" s="14" t="n">
        <f aca="false">IF(C49&gt;0,(C49*($E$107/$C$107-1)*F49),0)</f>
        <v>67986641.0644142</v>
      </c>
      <c r="I49" s="14" t="n">
        <f aca="false">IF(C49&gt;0,(E49-C49*$E$107/$C$107)*F49,0)</f>
        <v>-133081730.392035</v>
      </c>
      <c r="J49" s="14" t="n">
        <f aca="false">IF(AND(C49&gt;0,E49&gt;0),E49*(G49-F49),0)</f>
        <v>-100874242.572379</v>
      </c>
      <c r="K49" s="14" t="n">
        <f aca="false">IF(C49=0,D49,0)</f>
        <v>0</v>
      </c>
      <c r="L49" s="14" t="n">
        <f aca="false">SUM(H49:K49)</f>
        <v>-165969331.9</v>
      </c>
      <c r="M49" s="15" t="n">
        <f aca="false">ROUND(L49-(D49-B49),0)</f>
        <v>0</v>
      </c>
    </row>
    <row r="50" customFormat="false" ht="15" hidden="false" customHeight="false" outlineLevel="0" collapsed="false">
      <c r="A50" s="2" t="s">
        <v>91</v>
      </c>
      <c r="B50" s="6" t="n">
        <v>1123439045.1</v>
      </c>
      <c r="C50" s="7" t="n">
        <v>10635366.5</v>
      </c>
      <c r="D50" s="6" t="n">
        <v>1066901470.5</v>
      </c>
      <c r="E50" s="7" t="n">
        <v>10127250.5</v>
      </c>
      <c r="F50" s="13" t="n">
        <f aca="false">IF(C50&gt;0,B50/C50,0)</f>
        <v>105.632377135287</v>
      </c>
      <c r="G50" s="13" t="n">
        <f aca="false">IF(E50&gt;0,D50/E50,0)</f>
        <v>105.349568523066</v>
      </c>
      <c r="H50" s="14" t="n">
        <f aca="false">IF(C50&gt;0,(C50*($E$107/$C$107-1)*F50),0)</f>
        <v>59045106.4089882</v>
      </c>
      <c r="I50" s="14" t="n">
        <f aca="false">IF(C50&gt;0,(E50-C50*$E$107/$C$107)*F50,0)</f>
        <v>-112718607.349462</v>
      </c>
      <c r="J50" s="14" t="n">
        <f aca="false">IF(AND(C50&gt;0,E50&gt;0),E50*(G50-F50),0)</f>
        <v>-2864073.65952623</v>
      </c>
      <c r="K50" s="14" t="n">
        <f aca="false">IF(C50=0,D50,0)</f>
        <v>0</v>
      </c>
      <c r="L50" s="14" t="n">
        <f aca="false">SUM(H50:K50)</f>
        <v>-56537574.5999997</v>
      </c>
      <c r="M50" s="15" t="n">
        <f aca="false">ROUND(L50-(D50-B50),0)</f>
        <v>0</v>
      </c>
    </row>
    <row r="51" customFormat="false" ht="15" hidden="false" customHeight="false" outlineLevel="0" collapsed="false">
      <c r="A51" s="2" t="s">
        <v>92</v>
      </c>
      <c r="B51" s="6" t="n">
        <v>756850867.48</v>
      </c>
      <c r="C51" s="7" t="n">
        <v>2751542</v>
      </c>
      <c r="D51" s="6" t="n">
        <v>1056757309.4</v>
      </c>
      <c r="E51" s="7" t="n">
        <v>3935934</v>
      </c>
      <c r="F51" s="13" t="n">
        <f aca="false">IF(C51&gt;0,B51/C51,0)</f>
        <v>275.064261232429</v>
      </c>
      <c r="G51" s="13" t="n">
        <f aca="false">IF(E51&gt;0,D51/E51,0)</f>
        <v>268.489590882367</v>
      </c>
      <c r="H51" s="14" t="n">
        <f aca="false">IF(C51&gt;0,(C51*($E$107/$C$107-1)*F51),0)</f>
        <v>39778161.7089103</v>
      </c>
      <c r="I51" s="14" t="n">
        <f aca="false">IF(C51&gt;0,(E51-C51*$E$107/$C$107)*F51,0)</f>
        <v>286005748.780689</v>
      </c>
      <c r="J51" s="14" t="n">
        <f aca="false">IF(AND(C51&gt;0,E51&gt;0),E51*(G51-F51),0)</f>
        <v>-25877468.5695991</v>
      </c>
      <c r="K51" s="14" t="n">
        <f aca="false">IF(C51=0,D51,0)</f>
        <v>0</v>
      </c>
      <c r="L51" s="14" t="n">
        <f aca="false">SUM(H51:K51)</f>
        <v>299906441.92</v>
      </c>
      <c r="M51" s="15" t="n">
        <f aca="false">ROUND(L51-(D51-B51),0)</f>
        <v>0</v>
      </c>
    </row>
    <row r="52" customFormat="false" ht="15" hidden="false" customHeight="false" outlineLevel="0" collapsed="false">
      <c r="A52" s="2" t="s">
        <v>93</v>
      </c>
      <c r="B52" s="6" t="n">
        <v>876955029.97</v>
      </c>
      <c r="C52" s="7" t="n">
        <v>11001585</v>
      </c>
      <c r="D52" s="6" t="n">
        <v>1045029750.9</v>
      </c>
      <c r="E52" s="7" t="n">
        <v>12955039.001</v>
      </c>
      <c r="F52" s="13" t="n">
        <f aca="false">IF(C52&gt;0,B52/C52,0)</f>
        <v>79.7116988115803</v>
      </c>
      <c r="G52" s="13" t="n">
        <f aca="false">IF(E52&gt;0,D52/E52,0)</f>
        <v>80.665889992252</v>
      </c>
      <c r="H52" s="14" t="n">
        <f aca="false">IF(C52&gt;0,(C52*($E$107/$C$107-1)*F52),0)</f>
        <v>46090531.8239736</v>
      </c>
      <c r="I52" s="14" t="n">
        <f aca="false">IF(C52&gt;0,(E52-C52*$E$107/$C$107)*F52,0)</f>
        <v>109622605.146015</v>
      </c>
      <c r="J52" s="14" t="n">
        <f aca="false">IF(AND(C52&gt;0,E52&gt;0),E52*(G52-F52),0)</f>
        <v>12361583.9600114</v>
      </c>
      <c r="K52" s="14" t="n">
        <f aca="false">IF(C52=0,D52,0)</f>
        <v>0</v>
      </c>
      <c r="L52" s="14" t="n">
        <f aca="false">SUM(H52:K52)</f>
        <v>168074720.93</v>
      </c>
      <c r="M52" s="15" t="n">
        <f aca="false">ROUND(L52-(D52-B52),0)</f>
        <v>0</v>
      </c>
    </row>
    <row r="53" customFormat="false" ht="15" hidden="false" customHeight="false" outlineLevel="0" collapsed="false">
      <c r="A53" s="2" t="s">
        <v>94</v>
      </c>
      <c r="B53" s="6" t="n">
        <v>576350298.79</v>
      </c>
      <c r="C53" s="7" t="n">
        <v>5083379</v>
      </c>
      <c r="D53" s="6" t="n">
        <v>998066130.12</v>
      </c>
      <c r="E53" s="7" t="n">
        <v>9044450</v>
      </c>
      <c r="F53" s="13" t="n">
        <f aca="false">IF(C53&gt;0,B53/C53,0)</f>
        <v>113.379368091578</v>
      </c>
      <c r="G53" s="13" t="n">
        <f aca="false">IF(E53&gt;0,D53/E53,0)</f>
        <v>110.351224244703</v>
      </c>
      <c r="H53" s="14" t="n">
        <f aca="false">IF(C53&gt;0,(C53*($E$107/$C$107-1)*F53),0)</f>
        <v>30291509.6901217</v>
      </c>
      <c r="I53" s="14" t="n">
        <f aca="false">IF(C53&gt;0,(E53-C53*$E$107/$C$107)*F53,0)</f>
        <v>418812217.255755</v>
      </c>
      <c r="J53" s="14" t="n">
        <f aca="false">IF(AND(C53&gt;0,E53&gt;0),E53*(G53-F53),0)</f>
        <v>-27387895.6158767</v>
      </c>
      <c r="K53" s="14" t="n">
        <f aca="false">IF(C53=0,D53,0)</f>
        <v>0</v>
      </c>
      <c r="L53" s="14" t="n">
        <f aca="false">SUM(H53:K53)</f>
        <v>421715831.33</v>
      </c>
      <c r="M53" s="15" t="n">
        <f aca="false">ROUND(L53-(D53-B53),0)</f>
        <v>0</v>
      </c>
    </row>
    <row r="54" customFormat="false" ht="15" hidden="false" customHeight="false" outlineLevel="0" collapsed="false">
      <c r="A54" s="2" t="s">
        <v>95</v>
      </c>
      <c r="B54" s="6" t="n">
        <v>1047670731.2</v>
      </c>
      <c r="C54" s="7" t="n">
        <v>14610581.438</v>
      </c>
      <c r="D54" s="6" t="n">
        <v>973884134.55</v>
      </c>
      <c r="E54" s="7" t="n">
        <v>15221237.5</v>
      </c>
      <c r="F54" s="13" t="n">
        <f aca="false">IF(C54&gt;0,B54/C54,0)</f>
        <v>71.7062996873732</v>
      </c>
      <c r="G54" s="13" t="n">
        <f aca="false">IF(E54&gt;0,D54/E54,0)</f>
        <v>63.9819288379148</v>
      </c>
      <c r="H54" s="14" t="n">
        <f aca="false">IF(C54&gt;0,(C54*($E$107/$C$107-1)*F54),0)</f>
        <v>55062916.0301084</v>
      </c>
      <c r="I54" s="14" t="n">
        <f aca="false">IF(C54&gt;0,(E54-C54*$E$107/$C$107)*F54,0)</f>
        <v>-11275029.4424251</v>
      </c>
      <c r="J54" s="14" t="n">
        <f aca="false">IF(AND(C54&gt;0,E54&gt;0),E54*(G54-F54),0)</f>
        <v>-117574483.237683</v>
      </c>
      <c r="K54" s="14" t="n">
        <f aca="false">IF(C54=0,D54,0)</f>
        <v>0</v>
      </c>
      <c r="L54" s="14" t="n">
        <f aca="false">SUM(H54:K54)</f>
        <v>-73786596.65</v>
      </c>
      <c r="M54" s="15" t="n">
        <f aca="false">ROUND(L54-(D54-B54),0)</f>
        <v>0</v>
      </c>
    </row>
    <row r="55" customFormat="false" ht="15" hidden="false" customHeight="false" outlineLevel="0" collapsed="false">
      <c r="A55" s="2" t="s">
        <v>96</v>
      </c>
      <c r="B55" s="6" t="n">
        <v>508474527.15</v>
      </c>
      <c r="C55" s="7" t="n">
        <v>30892978</v>
      </c>
      <c r="D55" s="6" t="n">
        <v>945088935.3</v>
      </c>
      <c r="E55" s="7" t="n">
        <v>59519609.005</v>
      </c>
      <c r="F55" s="13" t="n">
        <f aca="false">IF(C55&gt;0,B55/C55,0)</f>
        <v>16.4592266614763</v>
      </c>
      <c r="G55" s="13" t="n">
        <f aca="false">IF(E55&gt;0,D55/E55,0)</f>
        <v>15.8786146464875</v>
      </c>
      <c r="H55" s="14" t="n">
        <f aca="false">IF(C55&gt;0,(C55*($E$107/$C$107-1)*F55),0)</f>
        <v>26724131.3116007</v>
      </c>
      <c r="I55" s="14" t="n">
        <f aca="false">IF(C55&gt;0,(E55-C55*$E$107/$C$107)*F55,0)</f>
        <v>444448076.954139</v>
      </c>
      <c r="J55" s="14" t="n">
        <f aca="false">IF(AND(C55&gt;0,E55&gt;0),E55*(G55-F55),0)</f>
        <v>-34557800.1157393</v>
      </c>
      <c r="K55" s="14" t="n">
        <f aca="false">IF(C55=0,D55,0)</f>
        <v>0</v>
      </c>
      <c r="L55" s="14" t="n">
        <f aca="false">SUM(H55:K55)</f>
        <v>436614408.15</v>
      </c>
      <c r="M55" s="15" t="n">
        <f aca="false">ROUND(L55-(D55-B55),0)</f>
        <v>0</v>
      </c>
    </row>
    <row r="56" customFormat="false" ht="15" hidden="false" customHeight="false" outlineLevel="0" collapsed="false">
      <c r="A56" s="2" t="s">
        <v>97</v>
      </c>
      <c r="B56" s="6" t="n">
        <v>814653974.96</v>
      </c>
      <c r="C56" s="7" t="n">
        <v>6621207</v>
      </c>
      <c r="D56" s="6" t="n">
        <v>941720712.9</v>
      </c>
      <c r="E56" s="7" t="n">
        <v>7772230</v>
      </c>
      <c r="F56" s="13" t="n">
        <f aca="false">IF(C56&gt;0,B56/C56,0)</f>
        <v>123.037079940259</v>
      </c>
      <c r="G56" s="13" t="n">
        <f aca="false">IF(E56&gt;0,D56/E56,0)</f>
        <v>121.164802495551</v>
      </c>
      <c r="H56" s="14" t="n">
        <f aca="false">IF(C56&gt;0,(C56*($E$107/$C$107-1)*F56),0)</f>
        <v>42816146.4102726</v>
      </c>
      <c r="I56" s="14" t="n">
        <f aca="false">IF(C56&gt;0,(E56-C56*$E$107/$C$107)*F56,0)</f>
        <v>98802362.4538038</v>
      </c>
      <c r="J56" s="14" t="n">
        <f aca="false">IF(AND(C56&gt;0,E56&gt;0),E56*(G56-F56),0)</f>
        <v>-14551770.9240764</v>
      </c>
      <c r="K56" s="14" t="n">
        <f aca="false">IF(C56=0,D56,0)</f>
        <v>0</v>
      </c>
      <c r="L56" s="14" t="n">
        <f aca="false">SUM(H56:K56)</f>
        <v>127066737.94</v>
      </c>
      <c r="M56" s="15" t="n">
        <f aca="false">ROUND(L56-(D56-B56),0)</f>
        <v>0</v>
      </c>
    </row>
    <row r="57" customFormat="false" ht="15" hidden="false" customHeight="false" outlineLevel="0" collapsed="false">
      <c r="A57" s="2" t="s">
        <v>98</v>
      </c>
      <c r="B57" s="6" t="n">
        <v>758070464.16</v>
      </c>
      <c r="C57" s="7" t="n">
        <v>2296260</v>
      </c>
      <c r="D57" s="6" t="n">
        <v>908772074.01</v>
      </c>
      <c r="E57" s="7" t="n">
        <v>2738853</v>
      </c>
      <c r="F57" s="13" t="n">
        <f aca="false">IF(C57&gt;0,B57/C57,0)</f>
        <v>330.132678424917</v>
      </c>
      <c r="G57" s="13" t="n">
        <f aca="false">IF(E57&gt;0,D57/E57,0)</f>
        <v>331.807539145036</v>
      </c>
      <c r="H57" s="14" t="n">
        <f aca="false">IF(C57&gt;0,(C57*($E$107/$C$107-1)*F57),0)</f>
        <v>39842260.6166889</v>
      </c>
      <c r="I57" s="14" t="n">
        <f aca="false">IF(C57&gt;0,(E57-C57*$E$107/$C$107)*F57,0)</f>
        <v>106272151.925431</v>
      </c>
      <c r="J57" s="14" t="n">
        <f aca="false">IF(AND(C57&gt;0,E57&gt;0),E57*(G57-F57),0)</f>
        <v>4587197.30788071</v>
      </c>
      <c r="K57" s="14" t="n">
        <f aca="false">IF(C57=0,D57,0)</f>
        <v>0</v>
      </c>
      <c r="L57" s="14" t="n">
        <f aca="false">SUM(H57:K57)</f>
        <v>150701609.85</v>
      </c>
      <c r="M57" s="15" t="n">
        <f aca="false">ROUND(L57-(D57-B57),0)</f>
        <v>0</v>
      </c>
    </row>
    <row r="58" customFormat="false" ht="15" hidden="false" customHeight="false" outlineLevel="0" collapsed="false">
      <c r="A58" s="2" t="s">
        <v>99</v>
      </c>
      <c r="B58" s="6" t="n">
        <v>923556171.13</v>
      </c>
      <c r="C58" s="7" t="n">
        <v>7492306.238</v>
      </c>
      <c r="D58" s="6" t="n">
        <v>877208066.09</v>
      </c>
      <c r="E58" s="7" t="n">
        <v>7345861.512</v>
      </c>
      <c r="F58" s="13" t="n">
        <f aca="false">IF(C58&gt;0,B58/C58,0)</f>
        <v>123.267274693851</v>
      </c>
      <c r="G58" s="13" t="n">
        <f aca="false">IF(E58&gt;0,D58/E58,0)</f>
        <v>119.415274118225</v>
      </c>
      <c r="H58" s="14" t="n">
        <f aca="false">IF(C58&gt;0,(C58*($E$107/$C$107-1)*F58),0)</f>
        <v>48539769.5913218</v>
      </c>
      <c r="I58" s="14" t="n">
        <f aca="false">IF(C58&gt;0,(E58-C58*$E$107/$C$107)*F58,0)</f>
        <v>-66591611.8586296</v>
      </c>
      <c r="J58" s="14" t="n">
        <f aca="false">IF(AND(C58&gt;0,E58&gt;0),E58*(G58-F58),0)</f>
        <v>-28296262.7726922</v>
      </c>
      <c r="K58" s="14" t="n">
        <f aca="false">IF(C58=0,D58,0)</f>
        <v>0</v>
      </c>
      <c r="L58" s="14" t="n">
        <f aca="false">SUM(H58:K58)</f>
        <v>-46348105.04</v>
      </c>
      <c r="M58" s="15" t="n">
        <f aca="false">ROUND(L58-(D58-B58),0)</f>
        <v>0</v>
      </c>
    </row>
    <row r="59" customFormat="false" ht="15" hidden="false" customHeight="false" outlineLevel="0" collapsed="false">
      <c r="A59" s="2" t="s">
        <v>100</v>
      </c>
      <c r="B59" s="6" t="n">
        <v>778834823.88</v>
      </c>
      <c r="C59" s="7" t="n">
        <v>1842278</v>
      </c>
      <c r="D59" s="6" t="n">
        <v>875642918.93</v>
      </c>
      <c r="E59" s="7" t="n">
        <v>2086188</v>
      </c>
      <c r="F59" s="13" t="n">
        <f aca="false">IF(C59&gt;0,B59/C59,0)</f>
        <v>422.756404777129</v>
      </c>
      <c r="G59" s="13" t="n">
        <f aca="false">IF(E59&gt;0,D59/E59,0)</f>
        <v>419.73346550263</v>
      </c>
      <c r="H59" s="14" t="n">
        <f aca="false">IF(C59&gt;0,(C59*($E$107/$C$107-1)*F59),0)</f>
        <v>40933582.6911079</v>
      </c>
      <c r="I59" s="14" t="n">
        <f aca="false">IF(C59&gt;0,(E59-C59*$E$107/$C$107)*F59,0)</f>
        <v>62180931.9980818</v>
      </c>
      <c r="J59" s="14" t="n">
        <f aca="false">IF(AND(C59&gt;0,E59&gt;0),E59*(G59-F59),0)</f>
        <v>-6306419.63918967</v>
      </c>
      <c r="K59" s="14" t="n">
        <f aca="false">IF(C59=0,D59,0)</f>
        <v>0</v>
      </c>
      <c r="L59" s="14" t="n">
        <f aca="false">SUM(H59:K59)</f>
        <v>96808095.05</v>
      </c>
      <c r="M59" s="15" t="n">
        <f aca="false">ROUND(L59-(D59-B59),0)</f>
        <v>0</v>
      </c>
    </row>
    <row r="60" customFormat="false" ht="15" hidden="false" customHeight="false" outlineLevel="0" collapsed="false">
      <c r="A60" s="2" t="s">
        <v>101</v>
      </c>
      <c r="B60" s="6" t="n">
        <v>630013840.43</v>
      </c>
      <c r="C60" s="7" t="n">
        <v>12594434.75</v>
      </c>
      <c r="D60" s="6" t="n">
        <v>861392149.79</v>
      </c>
      <c r="E60" s="7" t="n">
        <v>17379108.929</v>
      </c>
      <c r="F60" s="13" t="n">
        <f aca="false">IF(C60&gt;0,B60/C60,0)</f>
        <v>50.0231930162646</v>
      </c>
      <c r="G60" s="13" t="n">
        <f aca="false">IF(E60&gt;0,D60/E60,0)</f>
        <v>49.5648052675831</v>
      </c>
      <c r="H60" s="14" t="n">
        <f aca="false">IF(C60&gt;0,(C60*($E$107/$C$107-1)*F60),0)</f>
        <v>33111929.311673</v>
      </c>
      <c r="I60" s="14" t="n">
        <f aca="false">IF(C60&gt;0,(E60-C60*$E$107/$C$107)*F60,0)</f>
        <v>206232750.664381</v>
      </c>
      <c r="J60" s="14" t="n">
        <f aca="false">IF(AND(C60&gt;0,E60&gt;0),E60*(G60-F60),0)</f>
        <v>-7966370.6160543</v>
      </c>
      <c r="K60" s="14" t="n">
        <f aca="false">IF(C60=0,D60,0)</f>
        <v>0</v>
      </c>
      <c r="L60" s="14" t="n">
        <f aca="false">SUM(H60:K60)</f>
        <v>231378309.36</v>
      </c>
      <c r="M60" s="15" t="n">
        <f aca="false">ROUND(L60-(D60-B60),0)</f>
        <v>0</v>
      </c>
    </row>
    <row r="61" customFormat="false" ht="15" hidden="false" customHeight="false" outlineLevel="0" collapsed="false">
      <c r="A61" s="2" t="s">
        <v>102</v>
      </c>
      <c r="B61" s="6" t="n">
        <v>726928549.23</v>
      </c>
      <c r="C61" s="7" t="n">
        <v>20224379</v>
      </c>
      <c r="D61" s="6" t="n">
        <v>825797918.13</v>
      </c>
      <c r="E61" s="7" t="n">
        <v>25738165.188</v>
      </c>
      <c r="F61" s="13" t="n">
        <f aca="false">IF(C61&gt;0,B61/C61,0)</f>
        <v>35.9431826920372</v>
      </c>
      <c r="G61" s="13" t="n">
        <f aca="false">IF(E61&gt;0,D61/E61,0)</f>
        <v>32.0845682704304</v>
      </c>
      <c r="H61" s="14" t="n">
        <f aca="false">IF(C61&gt;0,(C61*($E$107/$C$107-1)*F61),0)</f>
        <v>38205520.564933</v>
      </c>
      <c r="I61" s="14" t="n">
        <f aca="false">IF(C61&gt;0,(E61-C61*$E$107/$C$107)*F61,0)</f>
        <v>159977503.715182</v>
      </c>
      <c r="J61" s="14" t="n">
        <f aca="false">IF(AND(C61&gt;0,E61&gt;0),E61*(G61-F61),0)</f>
        <v>-99313655.3801153</v>
      </c>
      <c r="K61" s="14" t="n">
        <f aca="false">IF(C61=0,D61,0)</f>
        <v>0</v>
      </c>
      <c r="L61" s="14" t="n">
        <f aca="false">SUM(H61:K61)</f>
        <v>98869368.9</v>
      </c>
      <c r="M61" s="15" t="n">
        <f aca="false">ROUND(L61-(D61-B61),0)</f>
        <v>0</v>
      </c>
    </row>
    <row r="62" customFormat="false" ht="15" hidden="false" customHeight="false" outlineLevel="0" collapsed="false">
      <c r="A62" s="2" t="s">
        <v>103</v>
      </c>
      <c r="B62" s="6" t="n">
        <v>872959569.63</v>
      </c>
      <c r="C62" s="7" t="n">
        <v>108144710</v>
      </c>
      <c r="D62" s="6" t="n">
        <v>819257997.62</v>
      </c>
      <c r="E62" s="7" t="n">
        <v>108063282.57</v>
      </c>
      <c r="F62" s="13" t="n">
        <f aca="false">IF(C62&gt;0,B62/C62,0)</f>
        <v>8.07214305378414</v>
      </c>
      <c r="G62" s="13" t="n">
        <f aca="false">IF(E62&gt;0,D62/E62,0)</f>
        <v>7.58127995130363</v>
      </c>
      <c r="H62" s="14" t="n">
        <f aca="false">IF(C62&gt;0,(C62*($E$107/$C$107-1)*F62),0)</f>
        <v>45880540.5636937</v>
      </c>
      <c r="I62" s="14" t="n">
        <f aca="false">IF(C62&gt;0,(E62-C62*$E$107/$C$107)*F62,0)</f>
        <v>-46537834.4271558</v>
      </c>
      <c r="J62" s="14" t="n">
        <f aca="false">IF(AND(C62&gt;0,E62&gt;0),E62*(G62-F62),0)</f>
        <v>-53044278.146538</v>
      </c>
      <c r="K62" s="14" t="n">
        <f aca="false">IF(C62=0,D62,0)</f>
        <v>0</v>
      </c>
      <c r="L62" s="14" t="n">
        <f aca="false">SUM(H62:K62)</f>
        <v>-53701572.01</v>
      </c>
      <c r="M62" s="15" t="n">
        <f aca="false">ROUND(L62-(D62-B62),0)</f>
        <v>0</v>
      </c>
    </row>
    <row r="63" customFormat="false" ht="15" hidden="false" customHeight="false" outlineLevel="0" collapsed="false">
      <c r="A63" s="2" t="s">
        <v>104</v>
      </c>
      <c r="B63" s="6" t="n">
        <v>852693125.47</v>
      </c>
      <c r="C63" s="7" t="n">
        <v>241760</v>
      </c>
      <c r="D63" s="6" t="n">
        <v>817580073.6</v>
      </c>
      <c r="E63" s="7" t="n">
        <v>230754</v>
      </c>
      <c r="F63" s="13" t="n">
        <f aca="false">IF(C63&gt;0,B63/C63,0)</f>
        <v>3527.02318609365</v>
      </c>
      <c r="G63" s="13" t="n">
        <f aca="false">IF(E63&gt;0,D63/E63,0)</f>
        <v>3543.08082893471</v>
      </c>
      <c r="H63" s="14" t="n">
        <f aca="false">IF(C63&gt;0,(C63*($E$107/$C$107-1)*F63),0)</f>
        <v>44815387.6680575</v>
      </c>
      <c r="I63" s="14" t="n">
        <f aca="false">IF(C63&gt;0,(E63-C63*$E$107/$C$107)*F63,0)</f>
        <v>-83633804.8542042</v>
      </c>
      <c r="J63" s="14" t="n">
        <f aca="false">IF(AND(C63&gt;0,E63&gt;0),E63*(G63-F63),0)</f>
        <v>3705365.31614659</v>
      </c>
      <c r="K63" s="14" t="n">
        <f aca="false">IF(C63=0,D63,0)</f>
        <v>0</v>
      </c>
      <c r="L63" s="14" t="n">
        <f aca="false">SUM(H63:K63)</f>
        <v>-35113051.8700001</v>
      </c>
      <c r="M63" s="15" t="n">
        <f aca="false">ROUND(L63-(D63-B63),0)</f>
        <v>0</v>
      </c>
    </row>
    <row r="64" customFormat="false" ht="15" hidden="false" customHeight="false" outlineLevel="0" collapsed="false">
      <c r="A64" s="2" t="s">
        <v>105</v>
      </c>
      <c r="B64" s="6" t="n">
        <v>1211171027.9</v>
      </c>
      <c r="C64" s="7" t="n">
        <v>5706084.5</v>
      </c>
      <c r="D64" s="6" t="n">
        <v>775597084.17</v>
      </c>
      <c r="E64" s="7" t="n">
        <v>3945845.96</v>
      </c>
      <c r="F64" s="13" t="n">
        <f aca="false">IF(C64&gt;0,B64/C64,0)</f>
        <v>212.259567466973</v>
      </c>
      <c r="G64" s="13" t="n">
        <f aca="false">IF(E64&gt;0,D64/E64,0)</f>
        <v>196.560406065623</v>
      </c>
      <c r="H64" s="14" t="n">
        <f aca="false">IF(C64&gt;0,(C64*($E$107/$C$107-1)*F64),0)</f>
        <v>63656076.8772938</v>
      </c>
      <c r="I64" s="14" t="n">
        <f aca="false">IF(C64&gt;0,(E64-C64*$E$107/$C$107)*F64,0)</f>
        <v>-437283548.01639</v>
      </c>
      <c r="J64" s="14" t="n">
        <f aca="false">IF(AND(C64&gt;0,E64&gt;0),E64*(G64-F64),0)</f>
        <v>-61946472.5909038</v>
      </c>
      <c r="K64" s="14" t="n">
        <f aca="false">IF(C64=0,D64,0)</f>
        <v>0</v>
      </c>
      <c r="L64" s="14" t="n">
        <f aca="false">SUM(H64:K64)</f>
        <v>-435573943.73</v>
      </c>
      <c r="M64" s="15" t="n">
        <f aca="false">ROUND(L64-(D64-B64),0)</f>
        <v>0</v>
      </c>
    </row>
    <row r="65" customFormat="false" ht="15" hidden="false" customHeight="false" outlineLevel="0" collapsed="false">
      <c r="A65" s="2" t="s">
        <v>106</v>
      </c>
      <c r="B65" s="6" t="n">
        <v>370771679.06</v>
      </c>
      <c r="C65" s="7" t="n">
        <v>1286407</v>
      </c>
      <c r="D65" s="6" t="n">
        <v>775493707.49</v>
      </c>
      <c r="E65" s="7" t="n">
        <v>2674696</v>
      </c>
      <c r="F65" s="13" t="n">
        <f aca="false">IF(C65&gt;0,B65/C65,0)</f>
        <v>288.222684624695</v>
      </c>
      <c r="G65" s="13" t="n">
        <f aca="false">IF(E65&gt;0,D65/E65,0)</f>
        <v>289.93713958147</v>
      </c>
      <c r="H65" s="14" t="n">
        <f aca="false">IF(C65&gt;0,(C65*($E$107/$C$107-1)*F65),0)</f>
        <v>19486818.9235743</v>
      </c>
      <c r="I65" s="14" t="n">
        <f aca="false">IF(C65&gt;0,(E65-C65*$E$107/$C$107)*F65,0)</f>
        <v>380649563.691359</v>
      </c>
      <c r="J65" s="14" t="n">
        <f aca="false">IF(AND(C65&gt;0,E65&gt;0),E65*(G65-F65),0)</f>
        <v>4585645.81506688</v>
      </c>
      <c r="K65" s="14" t="n">
        <f aca="false">IF(C65=0,D65,0)</f>
        <v>0</v>
      </c>
      <c r="L65" s="14" t="n">
        <f aca="false">SUM(H65:K65)</f>
        <v>404722028.43</v>
      </c>
      <c r="M65" s="15" t="n">
        <f aca="false">ROUND(L65-(D65-B65),0)</f>
        <v>0</v>
      </c>
    </row>
    <row r="66" customFormat="false" ht="15" hidden="false" customHeight="false" outlineLevel="0" collapsed="false">
      <c r="A66" s="2" t="s">
        <v>107</v>
      </c>
      <c r="B66" s="6" t="n">
        <v>1387933255.9</v>
      </c>
      <c r="C66" s="7" t="n">
        <v>4394856.8</v>
      </c>
      <c r="D66" s="6" t="n">
        <v>774198317.54</v>
      </c>
      <c r="E66" s="7" t="n">
        <v>2835314.4</v>
      </c>
      <c r="F66" s="13" t="n">
        <f aca="false">IF(C66&gt;0,B66/C66,0)</f>
        <v>315.808527800041</v>
      </c>
      <c r="G66" s="13" t="n">
        <f aca="false">IF(E66&gt;0,D66/E66,0)</f>
        <v>273.055544577349</v>
      </c>
      <c r="H66" s="14" t="n">
        <f aca="false">IF(C66&gt;0,(C66*($E$107/$C$107-1)*F66),0)</f>
        <v>72946251.1923772</v>
      </c>
      <c r="I66" s="14" t="n">
        <f aca="false">IF(C66&gt;0,(E66-C66*$E$107/$C$107)*F66,0)</f>
        <v>-565463040.57812</v>
      </c>
      <c r="J66" s="14" t="n">
        <f aca="false">IF(AND(C66&gt;0,E66&gt;0),E66*(G66-F66),0)</f>
        <v>-121218148.974257</v>
      </c>
      <c r="K66" s="14" t="n">
        <f aca="false">IF(C66=0,D66,0)</f>
        <v>0</v>
      </c>
      <c r="L66" s="14" t="n">
        <f aca="false">SUM(H66:K66)</f>
        <v>-613734938.36</v>
      </c>
      <c r="M66" s="15" t="n">
        <f aca="false">ROUND(L66-(D66-B66),0)</f>
        <v>0</v>
      </c>
    </row>
    <row r="67" customFormat="false" ht="15" hidden="false" customHeight="false" outlineLevel="0" collapsed="false">
      <c r="A67" s="2" t="s">
        <v>108</v>
      </c>
      <c r="B67" s="6" t="n">
        <v>673286886.73</v>
      </c>
      <c r="C67" s="7" t="n">
        <v>403776.814</v>
      </c>
      <c r="D67" s="6" t="n">
        <v>771837558.17</v>
      </c>
      <c r="E67" s="7" t="n">
        <v>451003.07</v>
      </c>
      <c r="F67" s="13" t="n">
        <f aca="false">IF(C67&gt;0,B67/C67,0)</f>
        <v>1667.47287953488</v>
      </c>
      <c r="G67" s="13" t="n">
        <f aca="false">IF(E67&gt;0,D67/E67,0)</f>
        <v>1711.37983200425</v>
      </c>
      <c r="H67" s="14" t="n">
        <f aca="false">IF(C67&gt;0,(C67*($E$107/$C$107-1)*F67),0)</f>
        <v>35386250.8554798</v>
      </c>
      <c r="I67" s="14" t="n">
        <f aca="false">IF(C67&gt;0,(E67-C67*$E$107/$C$107)*F67,0)</f>
        <v>43362250.2264918</v>
      </c>
      <c r="J67" s="14" t="n">
        <f aca="false">IF(AND(C67&gt;0,E67&gt;0),E67*(G67-F67),0)</f>
        <v>19802170.3580285</v>
      </c>
      <c r="K67" s="14" t="n">
        <f aca="false">IF(C67=0,D67,0)</f>
        <v>0</v>
      </c>
      <c r="L67" s="14" t="n">
        <f aca="false">SUM(H67:K67)</f>
        <v>98550671.4400001</v>
      </c>
      <c r="M67" s="15" t="n">
        <f aca="false">ROUND(L67-(D67-B67),0)</f>
        <v>0</v>
      </c>
    </row>
    <row r="68" customFormat="false" ht="15" hidden="false" customHeight="false" outlineLevel="0" collapsed="false">
      <c r="A68" s="2" t="s">
        <v>109</v>
      </c>
      <c r="B68" s="6" t="n">
        <v>877398114.7</v>
      </c>
      <c r="C68" s="7" t="n">
        <v>945342</v>
      </c>
      <c r="D68" s="6" t="n">
        <v>758041570.23</v>
      </c>
      <c r="E68" s="7" t="n">
        <v>893126</v>
      </c>
      <c r="F68" s="13" t="n">
        <f aca="false">IF(C68&gt;0,B68/C68,0)</f>
        <v>928.127719597775</v>
      </c>
      <c r="G68" s="13" t="n">
        <f aca="false">IF(E68&gt;0,D68/E68,0)</f>
        <v>848.750982761671</v>
      </c>
      <c r="H68" s="14" t="n">
        <f aca="false">IF(C68&gt;0,(C68*($E$107/$C$107-1)*F68),0)</f>
        <v>46113819.2334198</v>
      </c>
      <c r="I68" s="14" t="n">
        <f aca="false">IF(C68&gt;0,(E68-C68*$E$107/$C$107)*F68,0)</f>
        <v>-94576936.2399372</v>
      </c>
      <c r="J68" s="14" t="n">
        <f aca="false">IF(AND(C68&gt;0,E68&gt;0),E68*(G68-F68),0)</f>
        <v>-70893427.4634826</v>
      </c>
      <c r="K68" s="14" t="n">
        <f aca="false">IF(C68=0,D68,0)</f>
        <v>0</v>
      </c>
      <c r="L68" s="14" t="n">
        <f aca="false">SUM(H68:K68)</f>
        <v>-119356544.47</v>
      </c>
      <c r="M68" s="15" t="n">
        <f aca="false">ROUND(L68-(D68-B68),0)</f>
        <v>0</v>
      </c>
    </row>
    <row r="69" customFormat="false" ht="15" hidden="false" customHeight="false" outlineLevel="0" collapsed="false">
      <c r="A69" s="2" t="s">
        <v>110</v>
      </c>
      <c r="B69" s="6" t="n">
        <v>999755700.57</v>
      </c>
      <c r="C69" s="7" t="n">
        <v>4954122738.5</v>
      </c>
      <c r="D69" s="6" t="n">
        <v>756487578.84</v>
      </c>
      <c r="E69" s="7" t="n">
        <v>5316666193.5</v>
      </c>
      <c r="F69" s="13" t="n">
        <f aca="false">IF(C69&gt;0,B69/C69,0)</f>
        <v>0.20180277182085</v>
      </c>
      <c r="G69" s="13" t="n">
        <f aca="false">IF(E69&gt;0,D69/E69,0)</f>
        <v>0.142286077648595</v>
      </c>
      <c r="H69" s="14" t="n">
        <f aca="false">IF(C69&gt;0,(C69*($E$107/$C$107-1)*F69),0)</f>
        <v>52544623.5651296</v>
      </c>
      <c r="I69" s="14" t="n">
        <f aca="false">IF(C69&gt;0,(E69-C69*$E$107/$C$107)*F69,0)</f>
        <v>20617650.5593779</v>
      </c>
      <c r="J69" s="14" t="n">
        <f aca="false">IF(AND(C69&gt;0,E69&gt;0),E69*(G69-F69),0)</f>
        <v>-316430395.854508</v>
      </c>
      <c r="K69" s="14" t="n">
        <f aca="false">IF(C69=0,D69,0)</f>
        <v>0</v>
      </c>
      <c r="L69" s="14" t="n">
        <f aca="false">SUM(H69:K69)</f>
        <v>-243268121.73</v>
      </c>
      <c r="M69" s="15" t="n">
        <f aca="false">ROUND(L69-(D69-B69),0)</f>
        <v>0</v>
      </c>
    </row>
    <row r="70" customFormat="false" ht="15" hidden="false" customHeight="false" outlineLevel="0" collapsed="false">
      <c r="A70" s="2" t="s">
        <v>111</v>
      </c>
      <c r="B70" s="6" t="n">
        <v>436921533.43</v>
      </c>
      <c r="C70" s="7" t="n">
        <v>2375128</v>
      </c>
      <c r="D70" s="6" t="n">
        <v>728752454.61</v>
      </c>
      <c r="E70" s="7" t="n">
        <v>3841209</v>
      </c>
      <c r="F70" s="13" t="n">
        <f aca="false">IF(C70&gt;0,B70/C70,0)</f>
        <v>183.957047127565</v>
      </c>
      <c r="G70" s="13" t="n">
        <f aca="false">IF(E70&gt;0,D70/E70,0)</f>
        <v>189.71955303916</v>
      </c>
      <c r="H70" s="14" t="n">
        <f aca="false">IF(C70&gt;0,(C70*($E$107/$C$107-1)*F70),0)</f>
        <v>22963487.4684779</v>
      </c>
      <c r="I70" s="14" t="n">
        <f aca="false">IF(C70&gt;0,(E70-C70*$E$107/$C$107)*F70,0)</f>
        <v>246732444.14135</v>
      </c>
      <c r="J70" s="14" t="n">
        <f aca="false">IF(AND(C70&gt;0,E70&gt;0),E70*(G70-F70),0)</f>
        <v>22134989.5701719</v>
      </c>
      <c r="K70" s="14" t="n">
        <f aca="false">IF(C70=0,D70,0)</f>
        <v>0</v>
      </c>
      <c r="L70" s="14" t="n">
        <f aca="false">SUM(H70:K70)</f>
        <v>291830921.18</v>
      </c>
      <c r="M70" s="15" t="n">
        <f aca="false">ROUND(L70-(D70-B70),0)</f>
        <v>0</v>
      </c>
    </row>
    <row r="71" customFormat="false" ht="15" hidden="false" customHeight="false" outlineLevel="0" collapsed="false">
      <c r="A71" s="2" t="s">
        <v>112</v>
      </c>
      <c r="B71" s="6" t="n">
        <v>674525362.11</v>
      </c>
      <c r="C71" s="7" t="n">
        <v>2097534</v>
      </c>
      <c r="D71" s="6" t="n">
        <v>724709204.3</v>
      </c>
      <c r="E71" s="7" t="n">
        <v>2350678</v>
      </c>
      <c r="F71" s="13" t="n">
        <f aca="false">IF(C71&gt;0,B71/C71,0)</f>
        <v>321.580180397553</v>
      </c>
      <c r="G71" s="13" t="n">
        <f aca="false">IF(E71&gt;0,D71/E71,0)</f>
        <v>308.297948208985</v>
      </c>
      <c r="H71" s="14" t="n">
        <f aca="false">IF(C71&gt;0,(C71*($E$107/$C$107-1)*F71),0)</f>
        <v>35451341.9798411</v>
      </c>
      <c r="I71" s="14" t="n">
        <f aca="false">IF(C71&gt;0,(E71-C71*$E$107/$C$107)*F71,0)</f>
        <v>45954751.2067169</v>
      </c>
      <c r="J71" s="14" t="n">
        <f aca="false">IF(AND(C71&gt;0,E71&gt;0),E71*(G71-F71),0)</f>
        <v>-31222250.9965581</v>
      </c>
      <c r="K71" s="14" t="n">
        <f aca="false">IF(C71=0,D71,0)</f>
        <v>0</v>
      </c>
      <c r="L71" s="14" t="n">
        <f aca="false">SUM(H71:K71)</f>
        <v>50183842.1899999</v>
      </c>
      <c r="M71" s="15" t="n">
        <f aca="false">ROUND(L71-(D71-B71),0)</f>
        <v>0</v>
      </c>
    </row>
    <row r="72" customFormat="false" ht="15" hidden="false" customHeight="false" outlineLevel="0" collapsed="false">
      <c r="A72" s="2" t="s">
        <v>113</v>
      </c>
      <c r="B72" s="6" t="n">
        <v>763988446.53</v>
      </c>
      <c r="C72" s="7" t="n">
        <v>244927465.16</v>
      </c>
      <c r="D72" s="6" t="n">
        <v>724180333.53</v>
      </c>
      <c r="E72" s="7" t="n">
        <v>253273076.28</v>
      </c>
      <c r="F72" s="13" t="n">
        <f aca="false">IF(C72&gt;0,B72/C72,0)</f>
        <v>3.11924367498321</v>
      </c>
      <c r="G72" s="13" t="n">
        <f aca="false">IF(E72&gt;0,D72/E72,0)</f>
        <v>2.85928668047369</v>
      </c>
      <c r="H72" s="14" t="n">
        <f aca="false">IF(C72&gt;0,(C72*($E$107/$C$107-1)*F72),0)</f>
        <v>40153294.758049</v>
      </c>
      <c r="I72" s="14" t="n">
        <f aca="false">IF(C72&gt;0,(E72-C72*$E$107/$C$107)*F72,0)</f>
        <v>-14121300.0581194</v>
      </c>
      <c r="J72" s="14" t="n">
        <f aca="false">IF(AND(C72&gt;0,E72&gt;0),E72*(G72-F72),0)</f>
        <v>-65840107.6999296</v>
      </c>
      <c r="K72" s="14" t="n">
        <f aca="false">IF(C72=0,D72,0)</f>
        <v>0</v>
      </c>
      <c r="L72" s="14" t="n">
        <f aca="false">SUM(H72:K72)</f>
        <v>-39808113.0000001</v>
      </c>
      <c r="M72" s="15" t="n">
        <f aca="false">ROUND(L72-(D72-B72),0)</f>
        <v>0</v>
      </c>
    </row>
    <row r="73" customFormat="false" ht="15" hidden="false" customHeight="false" outlineLevel="0" collapsed="false">
      <c r="A73" s="2" t="s">
        <v>114</v>
      </c>
      <c r="B73" s="6" t="n">
        <v>493161480.5</v>
      </c>
      <c r="C73" s="7" t="n">
        <v>251694</v>
      </c>
      <c r="D73" s="6" t="n">
        <v>714549320.33</v>
      </c>
      <c r="E73" s="7" t="n">
        <v>355186</v>
      </c>
      <c r="F73" s="13" t="n">
        <f aca="false">IF(C73&gt;0,B73/C73,0)</f>
        <v>1959.36923605648</v>
      </c>
      <c r="G73" s="13" t="n">
        <f aca="false">IF(E73&gt;0,D73/E73,0)</f>
        <v>2011.76093745249</v>
      </c>
      <c r="H73" s="14" t="n">
        <f aca="false">IF(C73&gt;0,(C73*($E$107/$C$107-1)*F73),0)</f>
        <v>25919316.4239229</v>
      </c>
      <c r="I73" s="14" t="n">
        <f aca="false">IF(C73&gt;0,(E73-C73*$E$107/$C$107)*F73,0)</f>
        <v>176859724.554035</v>
      </c>
      <c r="J73" s="14" t="n">
        <f aca="false">IF(AND(C73&gt;0,E73&gt;0),E73*(G73-F73),0)</f>
        <v>18608798.8520427</v>
      </c>
      <c r="K73" s="14" t="n">
        <f aca="false">IF(C73=0,D73,0)</f>
        <v>0</v>
      </c>
      <c r="L73" s="14" t="n">
        <f aca="false">SUM(H73:K73)</f>
        <v>221387839.83</v>
      </c>
      <c r="M73" s="15" t="n">
        <f aca="false">ROUND(L73-(D73-B73),0)</f>
        <v>0</v>
      </c>
    </row>
    <row r="74" customFormat="false" ht="15" hidden="false" customHeight="false" outlineLevel="0" collapsed="false">
      <c r="A74" s="2" t="s">
        <v>115</v>
      </c>
      <c r="B74" s="6" t="n">
        <v>798865848.51</v>
      </c>
      <c r="C74" s="7" t="n">
        <v>84530665.889</v>
      </c>
      <c r="D74" s="6" t="n">
        <v>709178278.23</v>
      </c>
      <c r="E74" s="7" t="n">
        <v>79089973.5</v>
      </c>
      <c r="F74" s="13" t="n">
        <f aca="false">IF(C74&gt;0,B74/C74,0)</f>
        <v>9.45060399215377</v>
      </c>
      <c r="G74" s="13" t="n">
        <f aca="false">IF(E74&gt;0,D74/E74,0)</f>
        <v>8.96672797886321</v>
      </c>
      <c r="H74" s="14" t="n">
        <f aca="false">IF(C74&gt;0,(C74*($E$107/$C$107-1)*F74),0)</f>
        <v>41986362.5334305</v>
      </c>
      <c r="I74" s="14" t="n">
        <f aca="false">IF(C74&gt;0,(E74-C74*$E$107/$C$107)*F74,0)</f>
        <v>-93404191.7449945</v>
      </c>
      <c r="J74" s="14" t="n">
        <f aca="false">IF(AND(C74&gt;0,E74&gt;0),E74*(G74-F74),0)</f>
        <v>-38269741.0684361</v>
      </c>
      <c r="K74" s="14" t="n">
        <f aca="false">IF(C74=0,D74,0)</f>
        <v>0</v>
      </c>
      <c r="L74" s="14" t="n">
        <f aca="false">SUM(H74:K74)</f>
        <v>-89687570.28</v>
      </c>
      <c r="M74" s="15" t="n">
        <f aca="false">ROUND(L74-(D74-B74),0)</f>
        <v>0</v>
      </c>
    </row>
    <row r="75" customFormat="false" ht="15" hidden="false" customHeight="false" outlineLevel="0" collapsed="false">
      <c r="A75" s="2" t="s">
        <v>116</v>
      </c>
      <c r="B75" s="6" t="n">
        <v>3157233281.8</v>
      </c>
      <c r="C75" s="7" t="n">
        <v>104272932.8</v>
      </c>
      <c r="D75" s="6" t="n">
        <v>699132485.95</v>
      </c>
      <c r="E75" s="7" t="n">
        <v>114387704.2</v>
      </c>
      <c r="F75" s="13" t="n">
        <f aca="false">IF(C75&gt;0,B75/C75,0)</f>
        <v>30.2785506940302</v>
      </c>
      <c r="G75" s="13" t="n">
        <f aca="false">IF(E75&gt;0,D75/E75,0)</f>
        <v>6.11195487171951</v>
      </c>
      <c r="H75" s="14" t="n">
        <f aca="false">IF(C75&gt;0,(C75*($E$107/$C$107-1)*F75),0)</f>
        <v>165936172.411816</v>
      </c>
      <c r="I75" s="14" t="n">
        <f aca="false">IF(C75&gt;0,(E75-C75*$E$107/$C$107)*F75,0)</f>
        <v>140324446.18161</v>
      </c>
      <c r="J75" s="14" t="n">
        <f aca="false">IF(AND(C75&gt;0,E75&gt;0),E75*(G75-F75),0)</f>
        <v>-2764361414.44343</v>
      </c>
      <c r="K75" s="14" t="n">
        <f aca="false">IF(C75=0,D75,0)</f>
        <v>0</v>
      </c>
      <c r="L75" s="14" t="n">
        <f aca="false">SUM(H75:K75)</f>
        <v>-2458100795.85</v>
      </c>
      <c r="M75" s="15" t="n">
        <f aca="false">ROUND(L75-(D75-B75),0)</f>
        <v>0</v>
      </c>
    </row>
    <row r="76" customFormat="false" ht="15" hidden="false" customHeight="false" outlineLevel="0" collapsed="false">
      <c r="A76" s="2" t="s">
        <v>117</v>
      </c>
      <c r="B76" s="6" t="n">
        <v>835162055.59</v>
      </c>
      <c r="C76" s="7" t="n">
        <v>234721.4</v>
      </c>
      <c r="D76" s="6" t="n">
        <v>697405207.41</v>
      </c>
      <c r="E76" s="7" t="n">
        <v>208098.296</v>
      </c>
      <c r="F76" s="13" t="n">
        <f aca="false">IF(C76&gt;0,B76/C76,0)</f>
        <v>3558.09932792664</v>
      </c>
      <c r="G76" s="13" t="n">
        <f aca="false">IF(E76&gt;0,D76/E76,0)</f>
        <v>3351.32589173147</v>
      </c>
      <c r="H76" s="14" t="n">
        <f aca="false">IF(C76&gt;0,(C76*($E$107/$C$107-1)*F76),0)</f>
        <v>43893999.1058184</v>
      </c>
      <c r="I76" s="14" t="n">
        <f aca="false">IF(C76&gt;0,(E76-C76*$E$107/$C$107)*F76,0)</f>
        <v>-138621647.555539</v>
      </c>
      <c r="J76" s="14" t="n">
        <f aca="false">IF(AND(C76&gt;0,E76&gt;0),E76*(G76-F76),0)</f>
        <v>-43029199.730279</v>
      </c>
      <c r="K76" s="14" t="n">
        <f aca="false">IF(C76=0,D76,0)</f>
        <v>0</v>
      </c>
      <c r="L76" s="14" t="n">
        <f aca="false">SUM(H76:K76)</f>
        <v>-137756848.18</v>
      </c>
      <c r="M76" s="15" t="n">
        <f aca="false">ROUND(L76-(D76-B76),0)</f>
        <v>0</v>
      </c>
    </row>
    <row r="77" customFormat="false" ht="15" hidden="false" customHeight="false" outlineLevel="0" collapsed="false">
      <c r="A77" s="2" t="s">
        <v>118</v>
      </c>
      <c r="B77" s="6" t="n">
        <v>598223220.35</v>
      </c>
      <c r="C77" s="7" t="n">
        <v>3928942</v>
      </c>
      <c r="D77" s="6" t="n">
        <v>694246753.36</v>
      </c>
      <c r="E77" s="7" t="n">
        <v>4501236</v>
      </c>
      <c r="F77" s="13" t="n">
        <f aca="false">IF(C77&gt;0,B77/C77,0)</f>
        <v>152.260639212796</v>
      </c>
      <c r="G77" s="13" t="n">
        <f aca="false">IF(E77&gt;0,D77/E77,0)</f>
        <v>154.234693173164</v>
      </c>
      <c r="H77" s="14" t="n">
        <f aca="false">IF(C77&gt;0,(C77*($E$107/$C$107-1)*F77),0)</f>
        <v>31441094.9627883</v>
      </c>
      <c r="I77" s="14" t="n">
        <f aca="false">IF(C77&gt;0,(E77-C77*$E$107/$C$107)*F77,0)</f>
        <v>55696755.2948594</v>
      </c>
      <c r="J77" s="14" t="n">
        <f aca="false">IF(AND(C77&gt;0,E77&gt;0),E77*(G77-F77),0)</f>
        <v>8885682.75235228</v>
      </c>
      <c r="K77" s="14" t="n">
        <f aca="false">IF(C77=0,D77,0)</f>
        <v>0</v>
      </c>
      <c r="L77" s="14" t="n">
        <f aca="false">SUM(H77:K77)</f>
        <v>96023533.0100001</v>
      </c>
      <c r="M77" s="15" t="n">
        <f aca="false">ROUND(L77-(D77-B77),0)</f>
        <v>0</v>
      </c>
    </row>
    <row r="78" customFormat="false" ht="15" hidden="false" customHeight="false" outlineLevel="0" collapsed="false">
      <c r="A78" s="2" t="s">
        <v>119</v>
      </c>
      <c r="B78" s="6" t="n">
        <v>876989041.04</v>
      </c>
      <c r="C78" s="7" t="n">
        <v>32598071</v>
      </c>
      <c r="D78" s="6" t="n">
        <v>692896307.56</v>
      </c>
      <c r="E78" s="7" t="n">
        <v>39970874</v>
      </c>
      <c r="F78" s="13" t="n">
        <f aca="false">IF(C78&gt;0,B78/C78,0)</f>
        <v>26.9030962304487</v>
      </c>
      <c r="G78" s="13" t="n">
        <f aca="false">IF(E78&gt;0,D78/E78,0)</f>
        <v>17.3350301912337</v>
      </c>
      <c r="H78" s="14" t="n">
        <f aca="false">IF(C78&gt;0,(C78*($E$107/$C$107-1)*F78),0)</f>
        <v>46092319.3595377</v>
      </c>
      <c r="I78" s="14" t="n">
        <f aca="false">IF(C78&gt;0,(E78-C78*$E$107/$C$107)*F78,0)</f>
        <v>152258909.237603</v>
      </c>
      <c r="J78" s="14" t="n">
        <f aca="false">IF(AND(C78&gt;0,E78&gt;0),E78*(G78-F78),0)</f>
        <v>-382443962.077141</v>
      </c>
      <c r="K78" s="14" t="n">
        <f aca="false">IF(C78=0,D78,0)</f>
        <v>0</v>
      </c>
      <c r="L78" s="14" t="n">
        <f aca="false">SUM(H78:K78)</f>
        <v>-184092733.48</v>
      </c>
      <c r="M78" s="15" t="n">
        <f aca="false">ROUND(L78-(D78-B78),0)</f>
        <v>0</v>
      </c>
    </row>
    <row r="79" customFormat="false" ht="15" hidden="false" customHeight="false" outlineLevel="0" collapsed="false">
      <c r="A79" s="2" t="s">
        <v>120</v>
      </c>
      <c r="B79" s="6" t="n">
        <v>633292042.71</v>
      </c>
      <c r="C79" s="7" t="n">
        <v>664635.96</v>
      </c>
      <c r="D79" s="6" t="n">
        <v>687118572.15</v>
      </c>
      <c r="E79" s="7" t="n">
        <v>718891.8</v>
      </c>
      <c r="F79" s="13" t="n">
        <f aca="false">IF(C79&gt;0,B79/C79,0)</f>
        <v>952.840473317153</v>
      </c>
      <c r="G79" s="13" t="n">
        <f aca="false">IF(E79&gt;0,D79/E79,0)</f>
        <v>955.80248954015</v>
      </c>
      <c r="H79" s="14" t="n">
        <f aca="false">IF(C79&gt;0,(C79*($E$107/$C$107-1)*F79),0)</f>
        <v>33284223.307771</v>
      </c>
      <c r="I79" s="14" t="n">
        <f aca="false">IF(C79&gt;0,(E79-C79*$E$107/$C$107)*F79,0)</f>
        <v>18412936.9580488</v>
      </c>
      <c r="J79" s="14" t="n">
        <f aca="false">IF(AND(C79&gt;0,E79&gt;0),E79*(G79-F79),0)</f>
        <v>2129369.1741801</v>
      </c>
      <c r="K79" s="14" t="n">
        <f aca="false">IF(C79=0,D79,0)</f>
        <v>0</v>
      </c>
      <c r="L79" s="14" t="n">
        <f aca="false">SUM(H79:K79)</f>
        <v>53826529.44</v>
      </c>
      <c r="M79" s="15" t="n">
        <f aca="false">ROUND(L79-(D79-B79),0)</f>
        <v>0</v>
      </c>
    </row>
    <row r="80" customFormat="false" ht="15" hidden="false" customHeight="false" outlineLevel="0" collapsed="false">
      <c r="A80" s="2" t="s">
        <v>121</v>
      </c>
      <c r="B80" s="6" t="n">
        <v>691725954.38</v>
      </c>
      <c r="C80" s="7" t="n">
        <v>90507614</v>
      </c>
      <c r="D80" s="6" t="n">
        <v>685497436.89</v>
      </c>
      <c r="E80" s="7" t="n">
        <v>94428457</v>
      </c>
      <c r="F80" s="13" t="n">
        <f aca="false">IF(C80&gt;0,B80/C80,0)</f>
        <v>7.64273770801206</v>
      </c>
      <c r="G80" s="13" t="n">
        <f aca="false">IF(E80&gt;0,D80/E80,0)</f>
        <v>7.25943702426484</v>
      </c>
      <c r="H80" s="14" t="n">
        <f aca="false">IF(C80&gt;0,(C80*($E$107/$C$107-1)*F80),0)</f>
        <v>36355361.4772135</v>
      </c>
      <c r="I80" s="14" t="n">
        <f aca="false">IF(C80&gt;0,(E80-C80*$E$107/$C$107)*F80,0)</f>
        <v>-6389386.83391833</v>
      </c>
      <c r="J80" s="14" t="n">
        <f aca="false">IF(AND(C80&gt;0,E80&gt;0),E80*(G80-F80),0)</f>
        <v>-36194492.1332951</v>
      </c>
      <c r="K80" s="14" t="n">
        <f aca="false">IF(C80=0,D80,0)</f>
        <v>0</v>
      </c>
      <c r="L80" s="14" t="n">
        <f aca="false">SUM(H80:K80)</f>
        <v>-6228517.49000001</v>
      </c>
      <c r="M80" s="15" t="n">
        <f aca="false">ROUND(L80-(D80-B80),0)</f>
        <v>0</v>
      </c>
    </row>
    <row r="81" customFormat="false" ht="15" hidden="false" customHeight="false" outlineLevel="0" collapsed="false">
      <c r="A81" s="2" t="s">
        <v>122</v>
      </c>
      <c r="B81" s="6" t="n">
        <v>557676106.25</v>
      </c>
      <c r="C81" s="7" t="n">
        <v>1373284</v>
      </c>
      <c r="D81" s="6" t="n">
        <v>672379160.6</v>
      </c>
      <c r="E81" s="7" t="n">
        <v>1608219</v>
      </c>
      <c r="F81" s="13" t="n">
        <f aca="false">IF(C81&gt;0,B81/C81,0)</f>
        <v>406.089422326336</v>
      </c>
      <c r="G81" s="13" t="n">
        <f aca="false">IF(E81&gt;0,D81/E81,0)</f>
        <v>418.089302887231</v>
      </c>
      <c r="H81" s="14" t="n">
        <f aca="false">IF(C81&gt;0,(C81*($E$107/$C$107-1)*F81),0)</f>
        <v>29310041.5006054</v>
      </c>
      <c r="I81" s="14" t="n">
        <f aca="false">IF(C81&gt;0,(E81-C81*$E$107/$C$107)*F81,0)</f>
        <v>66094576.9336325</v>
      </c>
      <c r="J81" s="14" t="n">
        <f aca="false">IF(AND(C81&gt;0,E81&gt;0),E81*(G81-F81),0)</f>
        <v>19298435.9157623</v>
      </c>
      <c r="K81" s="14" t="n">
        <f aca="false">IF(C81=0,D81,0)</f>
        <v>0</v>
      </c>
      <c r="L81" s="14" t="n">
        <f aca="false">SUM(H81:K81)</f>
        <v>114703054.35</v>
      </c>
      <c r="M81" s="15" t="n">
        <f aca="false">ROUND(L81-(D81-B81),0)</f>
        <v>0</v>
      </c>
    </row>
    <row r="82" customFormat="false" ht="15" hidden="false" customHeight="false" outlineLevel="0" collapsed="false">
      <c r="A82" s="2" t="s">
        <v>123</v>
      </c>
      <c r="B82" s="6" t="n">
        <v>647548318.52</v>
      </c>
      <c r="C82" s="7" t="n">
        <v>27938494.012</v>
      </c>
      <c r="D82" s="6" t="n">
        <v>664629407.56</v>
      </c>
      <c r="E82" s="7" t="n">
        <v>31976383.649</v>
      </c>
      <c r="F82" s="13" t="n">
        <f aca="false">IF(C82&gt;0,B82/C82,0)</f>
        <v>23.1776386458722</v>
      </c>
      <c r="G82" s="13" t="n">
        <f aca="false">IF(E82&gt;0,D82/E82,0)</f>
        <v>20.7850085505459</v>
      </c>
      <c r="H82" s="14" t="n">
        <f aca="false">IF(C82&gt;0,(C82*($E$107/$C$107-1)*F82),0)</f>
        <v>34033497.0007843</v>
      </c>
      <c r="I82" s="14" t="n">
        <f aca="false">IF(C82&gt;0,(E82-C82*$E$107/$C$107)*F82,0)</f>
        <v>59555249.8975138</v>
      </c>
      <c r="J82" s="14" t="n">
        <f aca="false">IF(AND(C82&gt;0,E82&gt;0),E82*(G82-F82),0)</f>
        <v>-76507657.8582981</v>
      </c>
      <c r="K82" s="14" t="n">
        <f aca="false">IF(C82=0,D82,0)</f>
        <v>0</v>
      </c>
      <c r="L82" s="14" t="n">
        <f aca="false">SUM(H82:K82)</f>
        <v>17081089.04</v>
      </c>
      <c r="M82" s="15" t="n">
        <f aca="false">ROUND(L82-(D82-B82),0)</f>
        <v>0</v>
      </c>
    </row>
    <row r="83" customFormat="false" ht="15" hidden="false" customHeight="false" outlineLevel="0" collapsed="false">
      <c r="A83" s="2" t="s">
        <v>124</v>
      </c>
      <c r="B83" s="6" t="n">
        <v>595675169.97</v>
      </c>
      <c r="C83" s="7" t="n">
        <v>3680532.5</v>
      </c>
      <c r="D83" s="6" t="n">
        <v>657826492.55</v>
      </c>
      <c r="E83" s="7" t="n">
        <v>3972906.5</v>
      </c>
      <c r="F83" s="13" t="n">
        <f aca="false">IF(C83&gt;0,B83/C83,0)</f>
        <v>161.844833585901</v>
      </c>
      <c r="G83" s="13" t="n">
        <f aca="false">IF(E83&gt;0,D83/E83,0)</f>
        <v>165.578146012246</v>
      </c>
      <c r="H83" s="14" t="n">
        <f aca="false">IF(C83&gt;0,(C83*($E$107/$C$107-1)*F83),0)</f>
        <v>31307175.8983951</v>
      </c>
      <c r="I83" s="14" t="n">
        <f aca="false">IF(C83&gt;0,(E83-C83*$E$107/$C$107)*F83,0)</f>
        <v>16012045.4764491</v>
      </c>
      <c r="J83" s="14" t="n">
        <f aca="false">IF(AND(C83&gt;0,E83&gt;0),E83*(G83-F83),0)</f>
        <v>14832101.2051557</v>
      </c>
      <c r="K83" s="14" t="n">
        <f aca="false">IF(C83=0,D83,0)</f>
        <v>0</v>
      </c>
      <c r="L83" s="14" t="n">
        <f aca="false">SUM(H83:K83)</f>
        <v>62151322.58</v>
      </c>
      <c r="M83" s="15" t="n">
        <f aca="false">ROUND(L83-(D83-B83),0)</f>
        <v>0</v>
      </c>
    </row>
    <row r="84" customFormat="false" ht="15" hidden="false" customHeight="false" outlineLevel="0" collapsed="false">
      <c r="A84" s="2" t="s">
        <v>125</v>
      </c>
      <c r="B84" s="6" t="n">
        <v>697002199.46</v>
      </c>
      <c r="C84" s="7" t="n">
        <v>6993884.21</v>
      </c>
      <c r="D84" s="6" t="n">
        <v>647209310.14</v>
      </c>
      <c r="E84" s="7" t="n">
        <v>6691740</v>
      </c>
      <c r="F84" s="13" t="n">
        <f aca="false">IF(C84&gt;0,B84/C84,0)</f>
        <v>99.658813118955</v>
      </c>
      <c r="G84" s="13" t="n">
        <f aca="false">IF(E84&gt;0,D84/E84,0)</f>
        <v>96.717641471426</v>
      </c>
      <c r="H84" s="14" t="n">
        <f aca="false">IF(C84&gt;0,(C84*($E$107/$C$107-1)*F84),0)</f>
        <v>36632667.5344911</v>
      </c>
      <c r="I84" s="14" t="n">
        <f aca="false">IF(C84&gt;0,(E84-C84*$E$107/$C$107)*F84,0)</f>
        <v>-66744000.8938553</v>
      </c>
      <c r="J84" s="14" t="n">
        <f aca="false">IF(AND(C84&gt;0,E84&gt;0),E84*(G84-F84),0)</f>
        <v>-19681555.9606357</v>
      </c>
      <c r="K84" s="14" t="n">
        <f aca="false">IF(C84=0,D84,0)</f>
        <v>0</v>
      </c>
      <c r="L84" s="14" t="n">
        <f aca="false">SUM(H84:K84)</f>
        <v>-49792889.3199999</v>
      </c>
      <c r="M84" s="15" t="n">
        <f aca="false">ROUND(L84-(D84-B84),0)</f>
        <v>0</v>
      </c>
    </row>
    <row r="85" customFormat="false" ht="15" hidden="false" customHeight="false" outlineLevel="0" collapsed="false">
      <c r="A85" s="2" t="s">
        <v>126</v>
      </c>
      <c r="B85" s="6" t="n">
        <v>636857890.94</v>
      </c>
      <c r="C85" s="7" t="n">
        <v>233084.9</v>
      </c>
      <c r="D85" s="6" t="n">
        <v>644233417.74</v>
      </c>
      <c r="E85" s="7" t="n">
        <v>236634.45</v>
      </c>
      <c r="F85" s="13" t="n">
        <f aca="false">IF(C85&gt;0,B85/C85,0)</f>
        <v>2732.30008009957</v>
      </c>
      <c r="G85" s="13" t="n">
        <f aca="false">IF(E85&gt;0,D85/E85,0)</f>
        <v>2722.48363558222</v>
      </c>
      <c r="H85" s="14" t="n">
        <f aca="false">IF(C85&gt;0,(C85*($E$107/$C$107-1)*F85),0)</f>
        <v>33471635.2453363</v>
      </c>
      <c r="I85" s="14" t="n">
        <f aca="false">IF(C85&gt;0,(E85-C85*$E$107/$C$107)*F85,0)</f>
        <v>-23773199.4960188</v>
      </c>
      <c r="J85" s="14" t="n">
        <f aca="false">IF(AND(C85&gt;0,E85&gt;0),E85*(G85-F85),0)</f>
        <v>-2322908.94931749</v>
      </c>
      <c r="K85" s="14" t="n">
        <f aca="false">IF(C85=0,D85,0)</f>
        <v>0</v>
      </c>
      <c r="L85" s="14" t="n">
        <f aca="false">SUM(H85:K85)</f>
        <v>7375526.8</v>
      </c>
      <c r="M85" s="15" t="n">
        <f aca="false">ROUND(L85-(D85-B85),0)</f>
        <v>0</v>
      </c>
    </row>
    <row r="86" customFormat="false" ht="15" hidden="false" customHeight="false" outlineLevel="0" collapsed="false">
      <c r="A86" s="2" t="s">
        <v>127</v>
      </c>
      <c r="B86" s="6" t="n">
        <v>627419986.53</v>
      </c>
      <c r="C86" s="7" t="n">
        <v>352204.56</v>
      </c>
      <c r="D86" s="6" t="n">
        <v>632791430.87</v>
      </c>
      <c r="E86" s="7" t="n">
        <v>350727.1</v>
      </c>
      <c r="F86" s="13" t="n">
        <f aca="false">IF(C86&gt;0,B86/C86,0)</f>
        <v>1781.40790264044</v>
      </c>
      <c r="G86" s="13" t="n">
        <f aca="false">IF(E86&gt;0,D86/E86,0)</f>
        <v>1804.22736329756</v>
      </c>
      <c r="H86" s="14" t="n">
        <f aca="false">IF(C86&gt;0,(C86*($E$107/$C$107-1)*F86),0)</f>
        <v>32975602.9304574</v>
      </c>
      <c r="I86" s="14" t="n">
        <f aca="false">IF(C86&gt;0,(E86-C86*$E$107/$C$107)*F86,0)</f>
        <v>-35607561.8502926</v>
      </c>
      <c r="J86" s="14" t="n">
        <f aca="false">IF(AND(C86&gt;0,E86&gt;0),E86*(G86-F86),0)</f>
        <v>8003403.25983527</v>
      </c>
      <c r="K86" s="14" t="n">
        <f aca="false">IF(C86=0,D86,0)</f>
        <v>0</v>
      </c>
      <c r="L86" s="14" t="n">
        <f aca="false">SUM(H86:K86)</f>
        <v>5371444.34000007</v>
      </c>
      <c r="M86" s="15" t="n">
        <f aca="false">ROUND(L86-(D86-B86),0)</f>
        <v>0</v>
      </c>
    </row>
    <row r="87" customFormat="false" ht="15" hidden="false" customHeight="false" outlineLevel="0" collapsed="false">
      <c r="A87" s="2" t="s">
        <v>128</v>
      </c>
      <c r="B87" s="6" t="n">
        <v>657133269</v>
      </c>
      <c r="C87" s="7" t="n">
        <v>8798913</v>
      </c>
      <c r="D87" s="6" t="n">
        <v>629400835.91</v>
      </c>
      <c r="E87" s="7" t="n">
        <v>8463642</v>
      </c>
      <c r="F87" s="13" t="n">
        <f aca="false">IF(C87&gt;0,B87/C87,0)</f>
        <v>74.6834602183247</v>
      </c>
      <c r="G87" s="13" t="n">
        <f aca="false">IF(E87&gt;0,D87/E87,0)</f>
        <v>74.365247952359</v>
      </c>
      <c r="H87" s="14" t="n">
        <f aca="false">IF(C87&gt;0,(C87*($E$107/$C$107-1)*F87),0)</f>
        <v>34537257.6840941</v>
      </c>
      <c r="I87" s="14" t="n">
        <f aca="false">IF(C87&gt;0,(E87-C87*$E$107/$C$107)*F87,0)</f>
        <v>-59576456.0749519</v>
      </c>
      <c r="J87" s="14" t="n">
        <f aca="false">IF(AND(C87&gt;0,E87&gt;0),E87*(G87-F87),0)</f>
        <v>-2693234.69914209</v>
      </c>
      <c r="K87" s="14" t="n">
        <f aca="false">IF(C87=0,D87,0)</f>
        <v>0</v>
      </c>
      <c r="L87" s="14" t="n">
        <f aca="false">SUM(H87:K87)</f>
        <v>-27732433.09</v>
      </c>
      <c r="M87" s="15" t="n">
        <f aca="false">ROUND(L87-(D87-B87),0)</f>
        <v>0</v>
      </c>
    </row>
    <row r="88" customFormat="false" ht="15" hidden="false" customHeight="false" outlineLevel="0" collapsed="false">
      <c r="A88" s="2" t="s">
        <v>129</v>
      </c>
      <c r="B88" s="6" t="n">
        <v>478240311.94</v>
      </c>
      <c r="C88" s="7" t="n">
        <v>3807209.973</v>
      </c>
      <c r="D88" s="6" t="n">
        <v>625230826.2</v>
      </c>
      <c r="E88" s="7" t="n">
        <v>5051626.767</v>
      </c>
      <c r="F88" s="13" t="n">
        <f aca="false">IF(C88&gt;0,B88/C88,0)</f>
        <v>125.614377807263</v>
      </c>
      <c r="G88" s="13" t="n">
        <f aca="false">IF(E88&gt;0,D88/E88,0)</f>
        <v>123.768214683704</v>
      </c>
      <c r="H88" s="14" t="n">
        <f aca="false">IF(C88&gt;0,(C88*($E$107/$C$107-1)*F88),0)</f>
        <v>25135097.6545875</v>
      </c>
      <c r="I88" s="14" t="n">
        <f aca="false">IF(C88&gt;0,(E88-C88*$E$107/$C$107)*F88,0)</f>
        <v>131181543.656631</v>
      </c>
      <c r="J88" s="14" t="n">
        <f aca="false">IF(AND(C88&gt;0,E88&gt;0),E88*(G88-F88),0)</f>
        <v>-9326127.05121837</v>
      </c>
      <c r="K88" s="14" t="n">
        <f aca="false">IF(C88=0,D88,0)</f>
        <v>0</v>
      </c>
      <c r="L88" s="14" t="n">
        <f aca="false">SUM(H88:K88)</f>
        <v>146990514.26</v>
      </c>
      <c r="M88" s="15" t="n">
        <f aca="false">ROUND(L88-(D88-B88),0)</f>
        <v>0</v>
      </c>
    </row>
    <row r="89" customFormat="false" ht="15" hidden="false" customHeight="false" outlineLevel="0" collapsed="false">
      <c r="A89" s="2" t="s">
        <v>130</v>
      </c>
      <c r="B89" s="6" t="n">
        <v>531497097.62</v>
      </c>
      <c r="C89" s="7" t="n">
        <v>39127</v>
      </c>
      <c r="D89" s="6" t="n">
        <v>618784543.17</v>
      </c>
      <c r="E89" s="7" t="n">
        <v>48219</v>
      </c>
      <c r="F89" s="13" t="n">
        <f aca="false">IF(C89&gt;0,B89/C89,0)</f>
        <v>13583.8959700463</v>
      </c>
      <c r="G89" s="13" t="n">
        <f aca="false">IF(E89&gt;0,D89/E89,0)</f>
        <v>12832.7950220867</v>
      </c>
      <c r="H89" s="14" t="n">
        <f aca="false">IF(C89&gt;0,(C89*($E$107/$C$107-1)*F89),0)</f>
        <v>27934139.2146895</v>
      </c>
      <c r="I89" s="14" t="n">
        <f aca="false">IF(C89&gt;0,(E89-C89*$E$107/$C$107)*F89,0)</f>
        <v>95570642.9449711</v>
      </c>
      <c r="J89" s="14" t="n">
        <f aca="false">IF(AND(C89&gt;0,E89&gt;0),E89*(G89-F89),0)</f>
        <v>-36217336.6096607</v>
      </c>
      <c r="K89" s="14" t="n">
        <f aca="false">IF(C89=0,D89,0)</f>
        <v>0</v>
      </c>
      <c r="L89" s="14" t="n">
        <f aca="false">SUM(H89:K89)</f>
        <v>87287445.55</v>
      </c>
      <c r="M89" s="15" t="n">
        <f aca="false">ROUND(L89-(D89-B89),0)</f>
        <v>0</v>
      </c>
    </row>
    <row r="90" customFormat="false" ht="15" hidden="false" customHeight="false" outlineLevel="0" collapsed="false">
      <c r="A90" s="2" t="s">
        <v>131</v>
      </c>
      <c r="B90" s="6" t="n">
        <v>2004295917.7</v>
      </c>
      <c r="C90" s="7" t="n">
        <v>51355547.042</v>
      </c>
      <c r="D90" s="6" t="n">
        <v>597805783.11</v>
      </c>
      <c r="E90" s="7" t="n">
        <v>27241463.4</v>
      </c>
      <c r="F90" s="13" t="n">
        <f aca="false">IF(C90&gt;0,B90/C90,0)</f>
        <v>39.0278369746667</v>
      </c>
      <c r="G90" s="13" t="n">
        <f aca="false">IF(E90&gt;0,D90/E90,0)</f>
        <v>21.9447015137226</v>
      </c>
      <c r="H90" s="14" t="n">
        <f aca="false">IF(C90&gt;0,(C90*($E$107/$C$107-1)*F90),0)</f>
        <v>105340709.183882</v>
      </c>
      <c r="I90" s="14" t="n">
        <f aca="false">IF(C90&gt;0,(E90-C90*$E$107/$C$107)*F90,0)</f>
        <v>-1046461234.35733</v>
      </c>
      <c r="J90" s="14" t="n">
        <f aca="false">IF(AND(C90&gt;0,E90&gt;0),E90*(G90-F90),0)</f>
        <v>-465369609.416548</v>
      </c>
      <c r="K90" s="14" t="n">
        <f aca="false">IF(C90=0,D90,0)</f>
        <v>0</v>
      </c>
      <c r="L90" s="14" t="n">
        <f aca="false">SUM(H90:K90)</f>
        <v>-1406490134.59</v>
      </c>
      <c r="M90" s="15" t="n">
        <f aca="false">ROUND(L90-(D90-B90),0)</f>
        <v>0</v>
      </c>
    </row>
    <row r="91" customFormat="false" ht="15" hidden="false" customHeight="false" outlineLevel="0" collapsed="false">
      <c r="A91" s="2" t="s">
        <v>132</v>
      </c>
      <c r="B91" s="6" t="n">
        <v>442806701.76</v>
      </c>
      <c r="C91" s="7" t="n">
        <v>39584092</v>
      </c>
      <c r="D91" s="6" t="n">
        <v>597436409.02</v>
      </c>
      <c r="E91" s="7" t="n">
        <v>53112610</v>
      </c>
      <c r="F91" s="13" t="n">
        <f aca="false">IF(C91&gt;0,B91/C91,0)</f>
        <v>11.1864812197789</v>
      </c>
      <c r="G91" s="13" t="n">
        <f aca="false">IF(E91&gt;0,D91/E91,0)</f>
        <v>11.2484852282725</v>
      </c>
      <c r="H91" s="14" t="n">
        <f aca="false">IF(C91&gt;0,(C91*($E$107/$C$107-1)*F91),0)</f>
        <v>23272796.9871343</v>
      </c>
      <c r="I91" s="14" t="n">
        <f aca="false">IF(C91&gt;0,(E91-C91*$E$107/$C$107)*F91,0)</f>
        <v>128063715.551306</v>
      </c>
      <c r="J91" s="14" t="n">
        <f aca="false">IF(AND(C91&gt;0,E91&gt;0),E91*(G91-F91),0)</f>
        <v>3293194.72155927</v>
      </c>
      <c r="K91" s="14" t="n">
        <f aca="false">IF(C91=0,D91,0)</f>
        <v>0</v>
      </c>
      <c r="L91" s="14" t="n">
        <f aca="false">SUM(H91:K91)</f>
        <v>154629707.26</v>
      </c>
      <c r="M91" s="15" t="n">
        <f aca="false">ROUND(L91-(D91-B91),0)</f>
        <v>0</v>
      </c>
    </row>
    <row r="92" customFormat="false" ht="15" hidden="false" customHeight="false" outlineLevel="0" collapsed="false">
      <c r="A92" s="2" t="s">
        <v>133</v>
      </c>
      <c r="B92" s="6" t="n">
        <v>90977519.38</v>
      </c>
      <c r="C92" s="7" t="n">
        <v>463178</v>
      </c>
      <c r="D92" s="6" t="n">
        <v>597150052.9</v>
      </c>
      <c r="E92" s="7" t="n">
        <v>2669795</v>
      </c>
      <c r="F92" s="13" t="n">
        <f aca="false">IF(C92&gt;0,B92/C92,0)</f>
        <v>196.420208602308</v>
      </c>
      <c r="G92" s="13" t="n">
        <f aca="false">IF(E92&gt;0,D92/E92,0)</f>
        <v>223.668878284662</v>
      </c>
      <c r="H92" s="14" t="n">
        <f aca="false">IF(C92&gt;0,(C92*($E$107/$C$107-1)*F92),0)</f>
        <v>4781547.63807388</v>
      </c>
      <c r="I92" s="14" t="n">
        <f aca="false">IF(C92&gt;0,(E92-C92*$E$107/$C$107)*F92,0)</f>
        <v>428642623.807326</v>
      </c>
      <c r="J92" s="14" t="n">
        <f aca="false">IF(AND(C92&gt;0,E92&gt;0),E92*(G92-F92),0)</f>
        <v>72748362.0746001</v>
      </c>
      <c r="K92" s="14" t="n">
        <f aca="false">IF(C92=0,D92,0)</f>
        <v>0</v>
      </c>
      <c r="L92" s="14" t="n">
        <f aca="false">SUM(H92:K92)</f>
        <v>506172533.52</v>
      </c>
      <c r="M92" s="15" t="n">
        <f aca="false">ROUND(L92-(D92-B92),0)</f>
        <v>0</v>
      </c>
    </row>
    <row r="93" customFormat="false" ht="15" hidden="false" customHeight="false" outlineLevel="0" collapsed="false">
      <c r="A93" s="2" t="s">
        <v>134</v>
      </c>
      <c r="B93" s="6" t="n">
        <v>487431792.82</v>
      </c>
      <c r="C93" s="7" t="n">
        <v>3583679</v>
      </c>
      <c r="D93" s="6" t="n">
        <v>593929897.65</v>
      </c>
      <c r="E93" s="7" t="n">
        <v>4358924</v>
      </c>
      <c r="F93" s="13" t="n">
        <f aca="false">IF(C93&gt;0,B93/C93,0)</f>
        <v>136.014356425338</v>
      </c>
      <c r="G93" s="13" t="n">
        <f aca="false">IF(E93&gt;0,D93/E93,0)</f>
        <v>136.256080089949</v>
      </c>
      <c r="H93" s="14" t="n">
        <f aca="false">IF(C93&gt;0,(C93*($E$107/$C$107-1)*F93),0)</f>
        <v>25618178.5738264</v>
      </c>
      <c r="I93" s="14" t="n">
        <f aca="false">IF(C93&gt;0,(E93-C93*$E$107/$C$107)*F93,0)</f>
        <v>79826271.173135</v>
      </c>
      <c r="J93" s="14" t="n">
        <f aca="false">IF(AND(C93&gt;0,E93&gt;0),E93*(G93-F93),0)</f>
        <v>1053655.08303855</v>
      </c>
      <c r="K93" s="14" t="n">
        <f aca="false">IF(C93=0,D93,0)</f>
        <v>0</v>
      </c>
      <c r="L93" s="14" t="n">
        <f aca="false">SUM(H93:K93)</f>
        <v>106498104.83</v>
      </c>
      <c r="M93" s="15" t="n">
        <f aca="false">ROUND(L93-(D93-B93),0)</f>
        <v>0</v>
      </c>
    </row>
    <row r="94" customFormat="false" ht="15" hidden="false" customHeight="false" outlineLevel="0" collapsed="false">
      <c r="A94" s="2" t="s">
        <v>135</v>
      </c>
      <c r="B94" s="6" t="n">
        <v>585772571.52</v>
      </c>
      <c r="C94" s="7" t="n">
        <v>3054923</v>
      </c>
      <c r="D94" s="6" t="n">
        <v>589794982.59</v>
      </c>
      <c r="E94" s="7" t="n">
        <v>3092582</v>
      </c>
      <c r="F94" s="13" t="n">
        <f aca="false">IF(C94&gt;0,B94/C94,0)</f>
        <v>191.74708217523</v>
      </c>
      <c r="G94" s="13" t="n">
        <f aca="false">IF(E94&gt;0,D94/E94,0)</f>
        <v>190.712803278943</v>
      </c>
      <c r="H94" s="14" t="n">
        <f aca="false">IF(C94&gt;0,(C94*($E$107/$C$107-1)*F94),0)</f>
        <v>30786720.4435523</v>
      </c>
      <c r="I94" s="14" t="n">
        <f aca="false">IF(C94&gt;0,(E94-C94*$E$107/$C$107)*F94,0)</f>
        <v>-23565717.0759153</v>
      </c>
      <c r="J94" s="14" t="n">
        <f aca="false">IF(AND(C94&gt;0,E94&gt;0),E94*(G94-F94),0)</f>
        <v>-3198592.29763693</v>
      </c>
      <c r="K94" s="14" t="n">
        <f aca="false">IF(C94=0,D94,0)</f>
        <v>0</v>
      </c>
      <c r="L94" s="14" t="n">
        <f aca="false">SUM(H94:K94)</f>
        <v>4022411.07000003</v>
      </c>
      <c r="M94" s="15" t="n">
        <f aca="false">ROUND(L94-(D94-B94),0)</f>
        <v>-0</v>
      </c>
    </row>
    <row r="95" customFormat="false" ht="15" hidden="false" customHeight="false" outlineLevel="0" collapsed="false">
      <c r="A95" s="2" t="s">
        <v>136</v>
      </c>
      <c r="B95" s="6" t="n">
        <v>413095697.23</v>
      </c>
      <c r="C95" s="7" t="n">
        <v>19128.2</v>
      </c>
      <c r="D95" s="6" t="n">
        <v>582607939.91</v>
      </c>
      <c r="E95" s="7" t="n">
        <v>26860.2</v>
      </c>
      <c r="F95" s="13" t="n">
        <f aca="false">IF(C95&gt;0,B95/C95,0)</f>
        <v>21596.1615431666</v>
      </c>
      <c r="G95" s="13" t="n">
        <f aca="false">IF(E95&gt;0,D95/E95,0)</f>
        <v>21690.3798151168</v>
      </c>
      <c r="H95" s="14" t="n">
        <f aca="false">IF(C95&gt;0,(C95*($E$107/$C$107-1)*F95),0)</f>
        <v>21711261.9562456</v>
      </c>
      <c r="I95" s="14" t="n">
        <f aca="false">IF(C95&gt;0,(E95-C95*$E$107/$C$107)*F95,0)</f>
        <v>145270259.095519</v>
      </c>
      <c r="J95" s="14" t="n">
        <f aca="false">IF(AND(C95&gt;0,E95&gt;0),E95*(G95-F95),0)</f>
        <v>2530721.62823553</v>
      </c>
      <c r="K95" s="14" t="n">
        <f aca="false">IF(C95=0,D95,0)</f>
        <v>0</v>
      </c>
      <c r="L95" s="14" t="n">
        <f aca="false">SUM(H95:K95)</f>
        <v>169512242.68</v>
      </c>
      <c r="M95" s="15" t="n">
        <f aca="false">ROUND(L95-(D95-B95),0)</f>
        <v>0</v>
      </c>
    </row>
    <row r="96" customFormat="false" ht="15" hidden="false" customHeight="false" outlineLevel="0" collapsed="false">
      <c r="A96" s="2" t="s">
        <v>137</v>
      </c>
      <c r="B96" s="6" t="n">
        <v>542812337.37</v>
      </c>
      <c r="C96" s="7" t="n">
        <v>33365876</v>
      </c>
      <c r="D96" s="6" t="n">
        <v>580810193.41</v>
      </c>
      <c r="E96" s="7" t="n">
        <v>35444241</v>
      </c>
      <c r="F96" s="13" t="n">
        <f aca="false">IF(C96&gt;0,B96/C96,0)</f>
        <v>16.2684875221019</v>
      </c>
      <c r="G96" s="13" t="n">
        <f aca="false">IF(E96&gt;0,D96/E96,0)</f>
        <v>16.3865885408577</v>
      </c>
      <c r="H96" s="14" t="n">
        <f aca="false">IF(C96&gt;0,(C96*($E$107/$C$107-1)*F96),0)</f>
        <v>28528839.5128463</v>
      </c>
      <c r="I96" s="14" t="n">
        <f aca="false">IF(C96&gt;0,(E96-C96*$E$107/$C$107)*F96,0)</f>
        <v>5283015.556027</v>
      </c>
      <c r="J96" s="14" t="n">
        <f aca="false">IF(AND(C96&gt;0,E96&gt;0),E96*(G96-F96),0)</f>
        <v>4186000.97112666</v>
      </c>
      <c r="K96" s="14" t="n">
        <f aca="false">IF(C96=0,D96,0)</f>
        <v>0</v>
      </c>
      <c r="L96" s="14" t="n">
        <f aca="false">SUM(H96:K96)</f>
        <v>37997856.04</v>
      </c>
      <c r="M96" s="15" t="n">
        <f aca="false">ROUND(L96-(D96-B96),0)</f>
        <v>0</v>
      </c>
    </row>
    <row r="97" customFormat="false" ht="15" hidden="false" customHeight="false" outlineLevel="0" collapsed="false">
      <c r="A97" s="2" t="s">
        <v>138</v>
      </c>
      <c r="B97" s="6" t="n">
        <v>451311111.35</v>
      </c>
      <c r="C97" s="7" t="n">
        <v>321866</v>
      </c>
      <c r="D97" s="6" t="n">
        <v>570184676.16</v>
      </c>
      <c r="E97" s="7" t="n">
        <v>404913</v>
      </c>
      <c r="F97" s="13" t="n">
        <f aca="false">IF(C97&gt;0,B97/C97,0)</f>
        <v>1402.17081440724</v>
      </c>
      <c r="G97" s="13" t="n">
        <f aca="false">IF(E97&gt;0,D97/E97,0)</f>
        <v>1408.16589282142</v>
      </c>
      <c r="H97" s="14" t="n">
        <f aca="false">IF(C97&gt;0,(C97*($E$107/$C$107-1)*F97),0)</f>
        <v>23719767.1822484</v>
      </c>
      <c r="I97" s="14" t="n">
        <f aca="false">IF(C97&gt;0,(E97-C97*$E$107/$C$107)*F97,0)</f>
        <v>92726312.4418296</v>
      </c>
      <c r="J97" s="14" t="n">
        <f aca="false">IF(AND(C97&gt;0,E97&gt;0),E97*(G97-F97),0)</f>
        <v>2427485.18592204</v>
      </c>
      <c r="K97" s="14" t="n">
        <f aca="false">IF(C97=0,D97,0)</f>
        <v>0</v>
      </c>
      <c r="L97" s="14" t="n">
        <f aca="false">SUM(H97:K97)</f>
        <v>118873564.81</v>
      </c>
      <c r="M97" s="15" t="n">
        <f aca="false">ROUND(L97-(D97-B97),0)</f>
        <v>0</v>
      </c>
    </row>
    <row r="98" customFormat="false" ht="15" hidden="false" customHeight="false" outlineLevel="0" collapsed="false">
      <c r="A98" s="2" t="s">
        <v>139</v>
      </c>
      <c r="B98" s="6" t="n">
        <v>631607443.23</v>
      </c>
      <c r="C98" s="7" t="n">
        <v>5097879</v>
      </c>
      <c r="D98" s="6" t="n">
        <v>565891468.38</v>
      </c>
      <c r="E98" s="7" t="n">
        <v>4579883</v>
      </c>
      <c r="F98" s="13" t="n">
        <f aca="false">IF(C98&gt;0,B98/C98,0)</f>
        <v>123.896122922886</v>
      </c>
      <c r="G98" s="13" t="n">
        <f aca="false">IF(E98&gt;0,D98/E98,0)</f>
        <v>123.560245617628</v>
      </c>
      <c r="H98" s="14" t="n">
        <f aca="false">IF(C98&gt;0,(C98*($E$107/$C$107-1)*F98),0)</f>
        <v>33195685.0323862</v>
      </c>
      <c r="I98" s="14" t="n">
        <f aca="false">IF(C98&gt;0,(E98-C98*$E$107/$C$107)*F98,0)</f>
        <v>-97373381.1219495</v>
      </c>
      <c r="J98" s="14" t="n">
        <f aca="false">IF(AND(C98&gt;0,E98&gt;0),E98*(G98-F98),0)</f>
        <v>-1538278.76043664</v>
      </c>
      <c r="K98" s="14" t="n">
        <f aca="false">IF(C98=0,D98,0)</f>
        <v>0</v>
      </c>
      <c r="L98" s="14" t="n">
        <f aca="false">SUM(H98:K98)</f>
        <v>-65715974.8499999</v>
      </c>
      <c r="M98" s="15" t="n">
        <f aca="false">ROUND(L98-(D98-B98),0)</f>
        <v>0</v>
      </c>
    </row>
    <row r="99" customFormat="false" ht="15" hidden="false" customHeight="false" outlineLevel="0" collapsed="false">
      <c r="A99" s="2" t="s">
        <v>140</v>
      </c>
      <c r="B99" s="6" t="n">
        <v>474538368.76</v>
      </c>
      <c r="C99" s="7" t="n">
        <v>68923</v>
      </c>
      <c r="D99" s="6" t="n">
        <v>564471357.6</v>
      </c>
      <c r="E99" s="7" t="n">
        <v>83815.56</v>
      </c>
      <c r="F99" s="13" t="n">
        <f aca="false">IF(C99&gt;0,B99/C99,0)</f>
        <v>6885.05098094976</v>
      </c>
      <c r="G99" s="13" t="n">
        <f aca="false">IF(E99&gt;0,D99/E99,0)</f>
        <v>6734.68455737813</v>
      </c>
      <c r="H99" s="14" t="n">
        <f aca="false">IF(C99&gt;0,(C99*($E$107/$C$107-1)*F99),0)</f>
        <v>24940532.9116791</v>
      </c>
      <c r="I99" s="14" t="n">
        <f aca="false">IF(C99&gt;0,(E99-C99*$E$107/$C$107)*F99,0)</f>
        <v>77595501.925174</v>
      </c>
      <c r="J99" s="14" t="n">
        <f aca="false">IF(AND(C99&gt;0,E99&gt;0),E99*(G99-F99),0)</f>
        <v>-12603045.996853</v>
      </c>
      <c r="K99" s="14" t="n">
        <f aca="false">IF(C99=0,D99,0)</f>
        <v>0</v>
      </c>
      <c r="L99" s="14" t="n">
        <f aca="false">SUM(H99:K99)</f>
        <v>89932988.8400001</v>
      </c>
      <c r="M99" s="15" t="n">
        <f aca="false">ROUND(L99-(D99-B99),0)</f>
        <v>0</v>
      </c>
    </row>
    <row r="100" customFormat="false" ht="15" hidden="false" customHeight="false" outlineLevel="0" collapsed="false">
      <c r="A100" s="2" t="s">
        <v>141</v>
      </c>
      <c r="B100" s="6" t="n">
        <v>488777502.04</v>
      </c>
      <c r="C100" s="7" t="n">
        <v>5196220.181</v>
      </c>
      <c r="D100" s="6" t="n">
        <v>561185695.39</v>
      </c>
      <c r="E100" s="7" t="n">
        <v>6319322</v>
      </c>
      <c r="F100" s="13" t="n">
        <f aca="false">IF(C100&gt;0,B100/C100,0)</f>
        <v>94.0640475219308</v>
      </c>
      <c r="G100" s="13" t="n">
        <f aca="false">IF(E100&gt;0,D100/E100,0)</f>
        <v>88.8047318035068</v>
      </c>
      <c r="H100" s="14" t="n">
        <f aca="false">IF(C100&gt;0,(C100*($E$107/$C$107-1)*F100),0)</f>
        <v>25688905.6368006</v>
      </c>
      <c r="I100" s="14" t="n">
        <f aca="false">IF(C100&gt;0,(E100-C100*$E$107/$C$107)*F100,0)</f>
        <v>79954597.2375824</v>
      </c>
      <c r="J100" s="14" t="n">
        <f aca="false">IF(AND(C100&gt;0,E100&gt;0),E100*(G100-F100),0)</f>
        <v>-33235309.524383</v>
      </c>
      <c r="K100" s="14" t="n">
        <f aca="false">IF(C100=0,D100,0)</f>
        <v>0</v>
      </c>
      <c r="L100" s="14" t="n">
        <f aca="false">SUM(H100:K100)</f>
        <v>72408193.35</v>
      </c>
      <c r="M100" s="15" t="n">
        <f aca="false">ROUND(L100-(D100-B100),0)</f>
        <v>0</v>
      </c>
    </row>
    <row r="101" customFormat="false" ht="15" hidden="false" customHeight="false" outlineLevel="0" collapsed="false">
      <c r="A101" s="2" t="s">
        <v>142</v>
      </c>
      <c r="B101" s="6" t="n">
        <v>583910453.98</v>
      </c>
      <c r="C101" s="7" t="n">
        <v>220028564.88</v>
      </c>
      <c r="D101" s="6" t="n">
        <v>552635126.32</v>
      </c>
      <c r="E101" s="7" t="n">
        <v>243144075.65</v>
      </c>
      <c r="F101" s="13" t="n">
        <f aca="false">IF(C101&gt;0,B101/C101,0)</f>
        <v>2.65379385762233</v>
      </c>
      <c r="G101" s="13" t="n">
        <f aca="false">IF(E101&gt;0,D101/E101,0)</f>
        <v>2.27287103271027</v>
      </c>
      <c r="H101" s="14" t="n">
        <f aca="false">IF(C101&gt;0,(C101*($E$107/$C$107-1)*F101),0)</f>
        <v>30688852.2692398</v>
      </c>
      <c r="I101" s="14" t="n">
        <f aca="false">IF(C101&gt;0,(E101-C101*$E$107/$C$107)*F101,0)</f>
        <v>30654948.2279891</v>
      </c>
      <c r="J101" s="14" t="n">
        <f aca="false">IF(AND(C101&gt;0,E101&gt;0),E101*(G101-F101),0)</f>
        <v>-92619128.1572288</v>
      </c>
      <c r="K101" s="14" t="n">
        <f aca="false">IF(C101=0,D101,0)</f>
        <v>0</v>
      </c>
      <c r="L101" s="14" t="n">
        <f aca="false">SUM(H101:K101)</f>
        <v>-31275327.6599999</v>
      </c>
      <c r="M101" s="15" t="n">
        <f aca="false">ROUND(L101-(D101-B101),0)</f>
        <v>0</v>
      </c>
    </row>
    <row r="102" customFormat="false" ht="15" hidden="false" customHeight="false" outlineLevel="0" collapsed="false">
      <c r="A102" s="2" t="s">
        <v>143</v>
      </c>
      <c r="B102" s="6" t="n">
        <v>626148344.33</v>
      </c>
      <c r="C102" s="7" t="n">
        <v>4700088</v>
      </c>
      <c r="D102" s="6" t="n">
        <v>552006675.06</v>
      </c>
      <c r="E102" s="7" t="n">
        <v>4186557</v>
      </c>
      <c r="F102" s="13" t="n">
        <f aca="false">IF(C102&gt;0,B102/C102,0)</f>
        <v>133.220557642751</v>
      </c>
      <c r="G102" s="13" t="n">
        <f aca="false">IF(E102&gt;0,D102/E102,0)</f>
        <v>131.852181890752</v>
      </c>
      <c r="H102" s="14" t="n">
        <f aca="false">IF(C102&gt;0,(C102*($E$107/$C$107-1)*F102),0)</f>
        <v>32908768.6421703</v>
      </c>
      <c r="I102" s="14" t="n">
        <f aca="false">IF(C102&gt;0,(E102-C102*$E$107/$C$107)*F102,0)</f>
        <v>-101321654.82901</v>
      </c>
      <c r="J102" s="14" t="n">
        <f aca="false">IF(AND(C102&gt;0,E102&gt;0),E102*(G102-F102),0)</f>
        <v>-5728783.08316071</v>
      </c>
      <c r="K102" s="14" t="n">
        <f aca="false">IF(C102=0,D102,0)</f>
        <v>0</v>
      </c>
      <c r="L102" s="14" t="n">
        <f aca="false">SUM(H102:K102)</f>
        <v>-74141669.2700001</v>
      </c>
      <c r="M102" s="15" t="n">
        <f aca="false">ROUND(L102-(D102-B102),0)</f>
        <v>0</v>
      </c>
    </row>
    <row r="103" customFormat="false" ht="15" hidden="false" customHeight="false" outlineLevel="0" collapsed="false">
      <c r="A103" s="2" t="s">
        <v>144</v>
      </c>
      <c r="B103" s="6" t="n">
        <v>541871907.75</v>
      </c>
      <c r="C103" s="7" t="n">
        <v>5754670.45</v>
      </c>
      <c r="D103" s="6" t="n">
        <v>549974618.58</v>
      </c>
      <c r="E103" s="7" t="n">
        <v>6187378.25</v>
      </c>
      <c r="F103" s="13" t="n">
        <f aca="false">IF(C103&gt;0,B103/C103,0)</f>
        <v>94.1621092742157</v>
      </c>
      <c r="G103" s="13" t="n">
        <f aca="false">IF(E103&gt;0,D103/E103,0)</f>
        <v>88.8865358409275</v>
      </c>
      <c r="H103" s="14" t="n">
        <f aca="false">IF(C103&gt;0,(C103*($E$107/$C$107-1)*F103),0)</f>
        <v>28479412.9175849</v>
      </c>
      <c r="I103" s="14" t="n">
        <f aca="false">IF(C103&gt;0,(E103-C103*$E$107/$C$107)*F103,0)</f>
        <v>12265266.2298206</v>
      </c>
      <c r="J103" s="14" t="n">
        <f aca="false">IF(AND(C103&gt;0,E103&gt;0),E103*(G103-F103),0)</f>
        <v>-32641968.3174054</v>
      </c>
      <c r="K103" s="14" t="n">
        <f aca="false">IF(C103=0,D103,0)</f>
        <v>0</v>
      </c>
      <c r="L103" s="14" t="n">
        <f aca="false">SUM(H103:K103)</f>
        <v>8102710.83000008</v>
      </c>
      <c r="M103" s="15" t="n">
        <f aca="false">ROUND(L103-(D103-B103),0)</f>
        <v>0</v>
      </c>
    </row>
    <row r="104" customFormat="false" ht="15" hidden="false" customHeight="false" outlineLevel="0" collapsed="false">
      <c r="A104" s="2" t="s">
        <v>145</v>
      </c>
      <c r="B104" s="6" t="n">
        <v>529817415.78</v>
      </c>
      <c r="C104" s="7" t="n">
        <v>132581.134</v>
      </c>
      <c r="D104" s="6" t="n">
        <v>549801573.52</v>
      </c>
      <c r="E104" s="7" t="n">
        <v>137894.708</v>
      </c>
      <c r="F104" s="13" t="n">
        <f aca="false">IF(C104&gt;0,B104/C104,0)</f>
        <v>3996.17501974301</v>
      </c>
      <c r="G104" s="13" t="n">
        <f aca="false">IF(E104&gt;0,D104/E104,0)</f>
        <v>3987.11148160958</v>
      </c>
      <c r="H104" s="14" t="n">
        <f aca="false">IF(C104&gt;0,(C104*($E$107/$C$107-1)*F104),0)</f>
        <v>27845859.3979887</v>
      </c>
      <c r="I104" s="14" t="n">
        <f aca="false">IF(C104&gt;0,(E104-C104*$E$107/$C$107)*F104,0)</f>
        <v>-6611887.71363266</v>
      </c>
      <c r="J104" s="14" t="n">
        <f aca="false">IF(AND(C104&gt;0,E104&gt;0),E104*(G104-F104),0)</f>
        <v>-1249813.94435601</v>
      </c>
      <c r="K104" s="14" t="n">
        <f aca="false">IF(C104=0,D104,0)</f>
        <v>0</v>
      </c>
      <c r="L104" s="14" t="n">
        <f aca="false">SUM(H104:K104)</f>
        <v>19984157.74</v>
      </c>
      <c r="M104" s="15" t="n">
        <f aca="false">ROUND(L104-(D104-B104),0)</f>
        <v>0</v>
      </c>
    </row>
    <row r="105" customFormat="false" ht="15" hidden="false" customHeight="false" outlineLevel="0" collapsed="false">
      <c r="A105" s="2" t="s">
        <v>146</v>
      </c>
      <c r="B105" s="6" t="n">
        <v>105278067544.93</v>
      </c>
      <c r="C105" s="7" t="n">
        <v>113572050616.811</v>
      </c>
      <c r="D105" s="6" t="n">
        <v>95828473334.56</v>
      </c>
      <c r="E105" s="7" t="n">
        <v>118889038161.7</v>
      </c>
      <c r="F105" s="13" t="n">
        <f aca="false">IF(C105&gt;0,B105/C105,0)</f>
        <v>0.926971618220889</v>
      </c>
      <c r="G105" s="13" t="n">
        <f aca="false">IF(E105&gt;0,D105/E105,0)</f>
        <v>0.806032875833553</v>
      </c>
      <c r="H105" s="14" t="n">
        <f aca="false">IF(C105&gt;0,(C105*($E$107/$C$107-1)*F105),0)</f>
        <v>5533148173.75759</v>
      </c>
      <c r="I105" s="14" t="n">
        <f aca="false">IF(C105&gt;0,(E105-C105*$E$107/$C$107)*F105,0)</f>
        <v>-604451625.211529</v>
      </c>
      <c r="J105" s="14" t="n">
        <f aca="false">IF(AND(C105&gt;0,E105&gt;0),E105*(G105-F105),0)</f>
        <v>-14378290758.916</v>
      </c>
      <c r="K105" s="14" t="n">
        <f aca="false">IF(C105=0,D105,0)</f>
        <v>0</v>
      </c>
      <c r="L105" s="14" t="n">
        <f aca="false">SUM(H105:K105)</f>
        <v>-9449594210.36997</v>
      </c>
      <c r="M105" s="15" t="n">
        <f aca="false">ROUND(L105-(D105-B105),0)</f>
        <v>0</v>
      </c>
    </row>
    <row r="107" customFormat="false" ht="15" hidden="false" customHeight="false" outlineLevel="0" collapsed="false">
      <c r="A107" s="12" t="s">
        <v>147</v>
      </c>
      <c r="B107" s="16" t="n">
        <f aca="false">SUM(B5:B105)</f>
        <v>275808918752.7</v>
      </c>
      <c r="C107" s="17" t="n">
        <f aca="false">SUM(C5:C105)</f>
        <v>124660472463.37</v>
      </c>
      <c r="D107" s="16" t="n">
        <f aca="false">SUM(D5:D105)</f>
        <v>288667842058.4</v>
      </c>
      <c r="E107" s="17" t="n">
        <f aca="false">SUM(E5:E105)</f>
        <v>131212310672.749</v>
      </c>
      <c r="H107" s="16" t="n">
        <f aca="false">SUM(H5:H105)</f>
        <v>14495817131.6287</v>
      </c>
      <c r="I107" s="16" t="n">
        <f aca="false">SUM(I5:I105)</f>
        <v>23069609732.364</v>
      </c>
      <c r="J107" s="16" t="n">
        <f aca="false">SUM(J5:J105)</f>
        <v>-24706503558.2926</v>
      </c>
      <c r="K107" s="16" t="n">
        <f aca="false">SUM(K5:K105)</f>
        <v>0</v>
      </c>
      <c r="L107" s="16" t="n">
        <f aca="false">SUM(L5:L105)</f>
        <v>12858923305.7</v>
      </c>
      <c r="M107" s="18" t="n">
        <f aca="false">SUM(M5:M105)</f>
        <v>0</v>
      </c>
    </row>
    <row r="109" customFormat="false" ht="15" hidden="false" customHeight="false" outlineLevel="0" collapsed="false">
      <c r="A109" s="2" t="s">
        <v>148</v>
      </c>
      <c r="J109" s="10" t="n">
        <f aca="false">J107/L107</f>
        <v>-1.92135087603648</v>
      </c>
    </row>
    <row r="110" customFormat="false" ht="15" hidden="false" customHeight="false" outlineLevel="0" collapsed="false">
      <c r="A110" s="2" t="s">
        <v>149</v>
      </c>
      <c r="J110" s="10" t="n">
        <f aca="false">(H107+I107)/L107</f>
        <v>2.92135087603648</v>
      </c>
    </row>
    <row r="112" customFormat="false" ht="15" hidden="false" customHeight="false" outlineLevel="0" collapsed="false">
      <c r="A112" s="3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6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3" t="s">
        <v>152</v>
      </c>
    </row>
    <row r="4" customFormat="false" ht="31.5" hidden="false" customHeight="true" outlineLevel="0" collapsed="false">
      <c r="A4" s="4" t="s">
        <v>33</v>
      </c>
      <c r="B4" s="4" t="s">
        <v>153</v>
      </c>
      <c r="C4" s="4" t="s">
        <v>154</v>
      </c>
      <c r="D4" s="4" t="s">
        <v>155</v>
      </c>
      <c r="E4" s="4" t="s">
        <v>156</v>
      </c>
      <c r="F4" s="4" t="s">
        <v>157</v>
      </c>
      <c r="G4" s="4" t="s">
        <v>158</v>
      </c>
      <c r="H4" s="4" t="s">
        <v>159</v>
      </c>
      <c r="I4" s="4" t="s">
        <v>160</v>
      </c>
      <c r="J4" s="4" t="s">
        <v>161</v>
      </c>
    </row>
    <row r="5" customFormat="false" ht="15" hidden="false" customHeight="false" outlineLevel="0" collapsed="false">
      <c r="A5" s="2" t="s">
        <v>46</v>
      </c>
      <c r="B5" s="19" t="n">
        <v>521</v>
      </c>
      <c r="C5" s="19" t="n">
        <v>231</v>
      </c>
      <c r="D5" s="10" t="n">
        <f aca="false">1-C5/B5</f>
        <v>0.556621880998081</v>
      </c>
      <c r="E5" s="6" t="n">
        <v>20774929225</v>
      </c>
      <c r="F5" s="10" t="n">
        <f aca="false">E5/National_PMPM!$B$9</f>
        <v>0.0719682839517574</v>
      </c>
      <c r="G5" s="14" t="n">
        <f aca="false">E5*D5</f>
        <v>11563780182.8215</v>
      </c>
      <c r="H5" s="19" t="n">
        <v>912.314202356059</v>
      </c>
      <c r="I5" s="19" t="n">
        <v>399.010085878362</v>
      </c>
      <c r="J5" s="10" t="n">
        <f aca="false">I5/H5-1</f>
        <v>-0.562639620376494</v>
      </c>
    </row>
    <row r="6" customFormat="false" ht="15" hidden="false" customHeight="false" outlineLevel="0" collapsed="false">
      <c r="A6" s="2" t="s">
        <v>48</v>
      </c>
      <c r="B6" s="19" t="n">
        <v>573</v>
      </c>
      <c r="C6" s="19" t="n">
        <v>197</v>
      </c>
      <c r="D6" s="10" t="n">
        <f aca="false">1-C6/B6</f>
        <v>0.656195462478185</v>
      </c>
      <c r="E6" s="6" t="n">
        <v>11435997421</v>
      </c>
      <c r="F6" s="10" t="n">
        <f aca="false">E6/National_PMPM!$B$9</f>
        <v>0.0396164579312108</v>
      </c>
      <c r="G6" s="14" t="n">
        <f aca="false">E6*D6</f>
        <v>7504249616.57243</v>
      </c>
      <c r="H6" s="19" t="n">
        <v>1091.19361494516</v>
      </c>
      <c r="I6" s="19" t="n">
        <v>386.829228121217</v>
      </c>
      <c r="J6" s="10" t="n">
        <f aca="false">I6/H6-1</f>
        <v>-0.645498999606356</v>
      </c>
    </row>
    <row r="7" customFormat="false" ht="15" hidden="false" customHeight="false" outlineLevel="0" collapsed="false">
      <c r="A7" s="2" t="s">
        <v>50</v>
      </c>
      <c r="B7" s="19" t="n">
        <v>517</v>
      </c>
      <c r="C7" s="19" t="n">
        <v>197</v>
      </c>
      <c r="D7" s="10" t="n">
        <f aca="false">1-C7/B7</f>
        <v>0.618955512572534</v>
      </c>
      <c r="E7" s="6" t="n">
        <v>6232231839.7</v>
      </c>
      <c r="F7" s="10" t="n">
        <f aca="false">E7/National_PMPM!$B$9</f>
        <v>0.0215896297809271</v>
      </c>
      <c r="G7" s="14" t="n">
        <f aca="false">E7*D7</f>
        <v>3857474252.81238</v>
      </c>
      <c r="H7" s="19" t="n">
        <v>1006.21084405678</v>
      </c>
      <c r="I7" s="19" t="n">
        <v>374.038038899607</v>
      </c>
      <c r="J7" s="10" t="n">
        <f aca="false">I7/H7-1</f>
        <v>-0.628270713728764</v>
      </c>
    </row>
    <row r="8" customFormat="false" ht="15" hidden="false" customHeight="false" outlineLevel="0" collapsed="false">
      <c r="A8" s="2" t="s">
        <v>53</v>
      </c>
      <c r="B8" s="19" t="n">
        <v>556</v>
      </c>
      <c r="C8" s="19" t="n">
        <v>178.5</v>
      </c>
      <c r="D8" s="10" t="n">
        <f aca="false">1-C8/B8</f>
        <v>0.678956834532374</v>
      </c>
      <c r="E8" s="6" t="n">
        <v>5290548963.4</v>
      </c>
      <c r="F8" s="10" t="n">
        <f aca="false">E8/National_PMPM!$B$9</f>
        <v>0.0183274621990269</v>
      </c>
      <c r="G8" s="14" t="n">
        <f aca="false">E8*D8</f>
        <v>3592054377.1286</v>
      </c>
      <c r="H8" s="19" t="n">
        <v>997.750932807804</v>
      </c>
      <c r="I8" s="19" t="n">
        <v>328.965499267021</v>
      </c>
      <c r="J8" s="10" t="n">
        <f aca="false">I8/H8-1</f>
        <v>-0.670292967463064</v>
      </c>
    </row>
    <row r="9" customFormat="false" ht="15" hidden="false" customHeight="false" outlineLevel="0" collapsed="false">
      <c r="A9" s="2" t="s">
        <v>56</v>
      </c>
      <c r="B9" s="19" t="n">
        <v>628</v>
      </c>
      <c r="C9" s="19" t="n">
        <v>295</v>
      </c>
      <c r="D9" s="10" t="n">
        <f aca="false">1-C9/B9</f>
        <v>0.530254777070064</v>
      </c>
      <c r="E9" s="6" t="n">
        <v>4020466403.9</v>
      </c>
      <c r="F9" s="10" t="n">
        <f aca="false">E9/National_PMPM!$B$9</f>
        <v>0.0139276560050171</v>
      </c>
      <c r="G9" s="14" t="n">
        <f aca="false">E9*D9</f>
        <v>2131871516.71768</v>
      </c>
      <c r="H9" s="19" t="n">
        <v>1077.56109002548</v>
      </c>
      <c r="I9" s="19" t="n">
        <v>323.740285899988</v>
      </c>
      <c r="J9" s="10" t="n">
        <f aca="false">I9/H9-1</f>
        <v>-0.699562011939079</v>
      </c>
    </row>
    <row r="10" customFormat="false" ht="15" hidden="false" customHeight="false" outlineLevel="0" collapsed="false">
      <c r="A10" s="2" t="s">
        <v>57</v>
      </c>
      <c r="B10" s="19" t="n">
        <v>527</v>
      </c>
      <c r="C10" s="19" t="n">
        <v>113</v>
      </c>
      <c r="D10" s="10" t="n">
        <f aca="false">1-C10/B10</f>
        <v>0.785578747628084</v>
      </c>
      <c r="E10" s="6" t="n">
        <v>3807854661.8</v>
      </c>
      <c r="F10" s="10" t="n">
        <f aca="false">E10/National_PMPM!$B$9</f>
        <v>0.0131911287195947</v>
      </c>
      <c r="G10" s="14" t="n">
        <f aca="false">E10*D10</f>
        <v>2991369696.3666</v>
      </c>
      <c r="H10" s="19" t="n">
        <v>556.075452511792</v>
      </c>
      <c r="I10" s="19" t="n">
        <v>214.012079700221</v>
      </c>
      <c r="J10" s="10" t="n">
        <f aca="false">I10/H10-1</f>
        <v>-0.615138415598946</v>
      </c>
    </row>
    <row r="11" customFormat="false" ht="15" hidden="false" customHeight="false" outlineLevel="0" collapsed="false">
      <c r="A11" s="2" t="s">
        <v>162</v>
      </c>
      <c r="B11" s="19" t="n">
        <v>13836</v>
      </c>
      <c r="C11" s="19" t="n">
        <v>4695</v>
      </c>
      <c r="D11" s="10" t="n">
        <f aca="false">1-C11/B11</f>
        <v>0.660667823070252</v>
      </c>
      <c r="E11" s="6" t="n">
        <v>3378017374.1</v>
      </c>
      <c r="F11" s="10" t="n">
        <f aca="false">E11/National_PMPM!$B$9</f>
        <v>0.0117020910608276</v>
      </c>
      <c r="G11" s="14" t="n">
        <f aca="false">E11*D11</f>
        <v>2231747384.84013</v>
      </c>
      <c r="H11" s="19" t="n">
        <v>26682.0038479026</v>
      </c>
      <c r="I11" s="19" t="n">
        <v>8424.81958066224</v>
      </c>
      <c r="J11" s="10" t="n">
        <f aca="false">I11/H11-1</f>
        <v>-0.684250867038066</v>
      </c>
    </row>
    <row r="12" customFormat="false" ht="15" hidden="false" customHeight="false" outlineLevel="0" collapsed="false">
      <c r="A12" s="2" t="s">
        <v>127</v>
      </c>
      <c r="B12" s="19" t="n">
        <v>7106</v>
      </c>
      <c r="C12" s="19" t="n">
        <v>2355</v>
      </c>
      <c r="D12" s="10" t="n">
        <f aca="false">1-C12/B12</f>
        <v>0.668589924007881</v>
      </c>
      <c r="E12" s="6" t="n">
        <v>3225567875.91</v>
      </c>
      <c r="F12" s="10" t="n">
        <f aca="false">E12/National_PMPM!$B$9</f>
        <v>0.0111739771666615</v>
      </c>
      <c r="G12" s="14" t="n">
        <f aca="false">E12*D12</f>
        <v>2156582181.03693</v>
      </c>
      <c r="H12" s="19" t="n">
        <v>8681.6348227395</v>
      </c>
      <c r="I12" s="19" t="n">
        <v>2536.7400637608</v>
      </c>
      <c r="J12" s="10" t="n">
        <f aca="false">I12/H12-1</f>
        <v>-0.707803873860669</v>
      </c>
    </row>
    <row r="13" customFormat="false" ht="15" hidden="false" customHeight="false" outlineLevel="0" collapsed="false">
      <c r="A13" s="2" t="s">
        <v>65</v>
      </c>
      <c r="B13" s="19" t="n">
        <v>14934</v>
      </c>
      <c r="C13" s="19" t="n">
        <v>9319</v>
      </c>
      <c r="D13" s="10" t="n">
        <f aca="false">1-C13/B13</f>
        <v>0.375987679121468</v>
      </c>
      <c r="E13" s="6" t="n">
        <v>2266252031.7</v>
      </c>
      <c r="F13" s="10" t="n">
        <f aca="false">E13/National_PMPM!$B$9</f>
        <v>0.00785072564903685</v>
      </c>
      <c r="G13" s="14" t="n">
        <f aca="false">E13*D13</f>
        <v>852082841.703194</v>
      </c>
      <c r="H13" s="19" t="n">
        <v>16055.4615969761</v>
      </c>
      <c r="I13" s="19" t="n">
        <v>9646.30365094722</v>
      </c>
      <c r="J13" s="10" t="n">
        <f aca="false">I13/H13-1</f>
        <v>-0.399188644145613</v>
      </c>
    </row>
    <row r="14" customFormat="false" ht="15" hidden="false" customHeight="false" outlineLevel="0" collapsed="false">
      <c r="A14" s="2" t="s">
        <v>163</v>
      </c>
      <c r="B14" s="19" t="n">
        <v>495</v>
      </c>
      <c r="C14" s="19" t="n">
        <v>119</v>
      </c>
      <c r="D14" s="10" t="n">
        <f aca="false">1-C14/B14</f>
        <v>0.75959595959596</v>
      </c>
      <c r="E14" s="6" t="n">
        <v>765428365.96</v>
      </c>
      <c r="F14" s="10" t="n">
        <f aca="false">E14/National_PMPM!$B$9</f>
        <v>0.00265158862345722</v>
      </c>
      <c r="G14" s="14" t="n">
        <f aca="false">E14*D14</f>
        <v>581416294.143354</v>
      </c>
      <c r="H14" s="19" t="n">
        <v>293.803470242028</v>
      </c>
      <c r="I14" s="19" t="n">
        <v>204.416405416756</v>
      </c>
      <c r="J14" s="10" t="n">
        <f aca="false">I14/H14-1</f>
        <v>-0.304241011012013</v>
      </c>
    </row>
    <row r="15" customFormat="false" ht="15" hidden="false" customHeight="false" outlineLevel="0" collapsed="false">
      <c r="A15" s="12" t="s">
        <v>147</v>
      </c>
      <c r="E15" s="16" t="n">
        <f aca="false">SUM(E5:E14)</f>
        <v>61197294162.47</v>
      </c>
      <c r="F15" s="20" t="n">
        <f aca="false">SUM(F5:F14)</f>
        <v>0.211999001087517</v>
      </c>
      <c r="G15" s="16" t="n">
        <f aca="false">SUM(G5:G14)</f>
        <v>37462628344.1428</v>
      </c>
    </row>
    <row r="17" customFormat="false" ht="15" hidden="false" customHeight="false" outlineLevel="0" collapsed="false">
      <c r="A17" s="2" t="s">
        <v>164</v>
      </c>
      <c r="G17" s="10" t="n">
        <f aca="false">G15/E15</f>
        <v>0.612161515584086</v>
      </c>
    </row>
    <row r="18" customFormat="false" ht="15" hidden="false" customHeight="false" outlineLevel="0" collapsed="false">
      <c r="A18" s="2" t="s">
        <v>165</v>
      </c>
      <c r="G18" s="8" t="n">
        <f aca="false">G15/National_PMPM!$D$9</f>
        <v>57.4137810860599</v>
      </c>
    </row>
    <row r="20" customFormat="false" ht="15" hidden="false" customHeight="false" outlineLevel="0" collapsed="false">
      <c r="A20" s="3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3" t="s">
        <v>168</v>
      </c>
    </row>
    <row r="4" customFormat="false" ht="15" hidden="false" customHeight="false" outlineLevel="0" collapsed="false">
      <c r="A4" s="12" t="s">
        <v>169</v>
      </c>
      <c r="B4" s="21" t="n">
        <v>0.2</v>
      </c>
    </row>
    <row r="5" customFormat="false" ht="15" hidden="false" customHeight="false" outlineLevel="0" collapsed="false">
      <c r="A5" s="2" t="s">
        <v>170</v>
      </c>
      <c r="B5" s="8" t="n">
        <f aca="false">National_PMPM!E9</f>
        <v>442.401214839415</v>
      </c>
    </row>
    <row r="6" customFormat="false" ht="15" hidden="false" customHeight="false" outlineLevel="0" collapsed="false">
      <c r="A6" s="2" t="s">
        <v>171</v>
      </c>
      <c r="B6" s="8" t="n">
        <f aca="false">B5*(1-B4)</f>
        <v>353.920971871532</v>
      </c>
    </row>
    <row r="7" customFormat="false" ht="15" hidden="false" customHeight="false" outlineLevel="0" collapsed="false">
      <c r="A7" s="2" t="s">
        <v>172</v>
      </c>
      <c r="B7" s="14" t="n">
        <f aca="false">National_PMPM!B9*(1-B4)</f>
        <v>230934273646.72</v>
      </c>
    </row>
    <row r="9" customFormat="false" ht="31.5" hidden="false" customHeight="true" outlineLevel="0" collapsed="false">
      <c r="A9" s="4" t="s">
        <v>173</v>
      </c>
      <c r="B9" s="4" t="s">
        <v>174</v>
      </c>
      <c r="C9" s="4" t="s">
        <v>175</v>
      </c>
    </row>
    <row r="10" customFormat="false" ht="15" hidden="false" customHeight="false" outlineLevel="0" collapsed="false">
      <c r="A10" s="22" t="n">
        <v>0</v>
      </c>
      <c r="B10" s="8" t="n">
        <f aca="false">$B$5*(1-A10)</f>
        <v>442.401214839415</v>
      </c>
      <c r="C10" s="14" t="n">
        <f aca="false">National_PMPM!$B$9*(1-A10)</f>
        <v>288667842058.4</v>
      </c>
    </row>
    <row r="11" customFormat="false" ht="15" hidden="false" customHeight="false" outlineLevel="0" collapsed="false">
      <c r="A11" s="22" t="n">
        <v>0.05</v>
      </c>
      <c r="B11" s="8" t="n">
        <f aca="false">$B$5*(1-A11)</f>
        <v>420.281154097444</v>
      </c>
      <c r="C11" s="14" t="n">
        <f aca="false">National_PMPM!$B$9*(1-A11)</f>
        <v>274234449955.48</v>
      </c>
    </row>
    <row r="12" customFormat="false" ht="15" hidden="false" customHeight="false" outlineLevel="0" collapsed="false">
      <c r="A12" s="22" t="n">
        <v>0.1</v>
      </c>
      <c r="B12" s="8" t="n">
        <f aca="false">$B$5*(1-A12)</f>
        <v>398.161093355474</v>
      </c>
      <c r="C12" s="14" t="n">
        <f aca="false">National_PMPM!$B$9*(1-A12)</f>
        <v>259801057852.56</v>
      </c>
    </row>
    <row r="13" customFormat="false" ht="15" hidden="false" customHeight="false" outlineLevel="0" collapsed="false">
      <c r="A13" s="22" t="n">
        <v>0.15</v>
      </c>
      <c r="B13" s="8" t="n">
        <f aca="false">$B$5*(1-A13)</f>
        <v>376.041032613503</v>
      </c>
      <c r="C13" s="14" t="n">
        <f aca="false">National_PMPM!$B$9*(1-A13)</f>
        <v>245367665749.64</v>
      </c>
    </row>
    <row r="14" customFormat="false" ht="15" hidden="false" customHeight="false" outlineLevel="0" collapsed="false">
      <c r="A14" s="22" t="n">
        <v>0.2</v>
      </c>
      <c r="B14" s="8" t="n">
        <f aca="false">$B$5*(1-A14)</f>
        <v>353.920971871532</v>
      </c>
      <c r="C14" s="14" t="n">
        <f aca="false">National_PMPM!$B$9*(1-A14)</f>
        <v>230934273646.72</v>
      </c>
    </row>
    <row r="15" customFormat="false" ht="15" hidden="false" customHeight="false" outlineLevel="0" collapsed="false">
      <c r="A15" s="22" t="n">
        <v>0.25</v>
      </c>
      <c r="B15" s="8" t="n">
        <f aca="false">$B$5*(1-A15)</f>
        <v>331.800911129561</v>
      </c>
      <c r="C15" s="14" t="n">
        <f aca="false">National_PMPM!$B$9*(1-A15)</f>
        <v>216500881543.8</v>
      </c>
    </row>
    <row r="16" customFormat="false" ht="15" hidden="false" customHeight="false" outlineLevel="0" collapsed="false">
      <c r="A16" s="22" t="n">
        <v>0.3</v>
      </c>
      <c r="B16" s="8" t="n">
        <f aca="false">$B$5*(1-A16)</f>
        <v>309.680850387591</v>
      </c>
      <c r="C16" s="14" t="n">
        <f aca="false">National_PMPM!$B$9*(1-A16)</f>
        <v>202067489440.88</v>
      </c>
    </row>
    <row r="17" customFormat="false" ht="15" hidden="false" customHeight="false" outlineLevel="0" collapsed="false">
      <c r="A17" s="22" t="n">
        <v>0.35</v>
      </c>
      <c r="B17" s="8" t="n">
        <f aca="false">$B$5*(1-A17)</f>
        <v>287.56078964562</v>
      </c>
      <c r="C17" s="14" t="n">
        <f aca="false">National_PMPM!$B$9*(1-A17)</f>
        <v>187634097337.96</v>
      </c>
    </row>
    <row r="18" customFormat="false" ht="15" hidden="false" customHeight="false" outlineLevel="0" collapsed="false">
      <c r="A18" s="22" t="n">
        <v>0.4</v>
      </c>
      <c r="B18" s="8" t="n">
        <f aca="false">$B$5*(1-A18)</f>
        <v>265.440728903649</v>
      </c>
      <c r="C18" s="14" t="n">
        <f aca="false">National_PMPM!$B$9*(1-A18)</f>
        <v>173200705235.04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3" t="s">
        <v>177</v>
      </c>
    </row>
    <row r="4" customFormat="false" ht="31.5" hidden="false" customHeight="true" outlineLevel="0" collapsed="false">
      <c r="A4" s="4" t="s">
        <v>178</v>
      </c>
      <c r="B4" s="4" t="s">
        <v>11</v>
      </c>
      <c r="C4" s="4" t="s">
        <v>13</v>
      </c>
      <c r="D4" s="4" t="s">
        <v>179</v>
      </c>
      <c r="E4" s="4" t="s">
        <v>14</v>
      </c>
      <c r="F4" s="4" t="s">
        <v>180</v>
      </c>
      <c r="G4" s="4" t="s">
        <v>181</v>
      </c>
      <c r="H4" s="4" t="s">
        <v>182</v>
      </c>
      <c r="I4" s="4" t="s">
        <v>183</v>
      </c>
    </row>
    <row r="5" customFormat="false" ht="15" hidden="false" customHeight="false" outlineLevel="0" collapsed="false">
      <c r="A5" s="2" t="s">
        <v>184</v>
      </c>
      <c r="B5" s="6" t="n">
        <v>396287868.62</v>
      </c>
      <c r="C5" s="7" t="n">
        <v>961563</v>
      </c>
      <c r="D5" s="23" t="n">
        <v>3516798.5</v>
      </c>
      <c r="E5" s="8" t="n">
        <f aca="false">B5/C5</f>
        <v>412.128865836144</v>
      </c>
      <c r="F5" s="10" t="n">
        <f aca="false">E5/National_PMPM!$E$9-1</f>
        <v>-0.0684273640936085</v>
      </c>
      <c r="G5" s="15" t="n">
        <f aca="false">RANK(E5,$E$5:$E$55)</f>
        <v>27</v>
      </c>
      <c r="H5" s="24" t="n">
        <f aca="false">D5/C5</f>
        <v>3.65737710373631</v>
      </c>
      <c r="I5" s="8" t="n">
        <f aca="false">B5/D5</f>
        <v>112.684269121475</v>
      </c>
    </row>
    <row r="6" customFormat="false" ht="15" hidden="false" customHeight="false" outlineLevel="0" collapsed="false">
      <c r="A6" s="2" t="s">
        <v>185</v>
      </c>
      <c r="B6" s="6" t="n">
        <v>5341592766.13</v>
      </c>
      <c r="C6" s="7" t="n">
        <v>10653433</v>
      </c>
      <c r="D6" s="23" t="n">
        <v>58393682.2</v>
      </c>
      <c r="E6" s="8" t="n">
        <f aca="false">B6/C6</f>
        <v>501.396382380215</v>
      </c>
      <c r="F6" s="10" t="n">
        <f aca="false">E6/National_PMPM!$E$9-1</f>
        <v>0.133352182502966</v>
      </c>
      <c r="G6" s="15" t="n">
        <f aca="false">RANK(E6,$E$5:$E$55)</f>
        <v>7</v>
      </c>
      <c r="H6" s="24" t="n">
        <f aca="false">D6/C6</f>
        <v>5.48120800121426</v>
      </c>
      <c r="I6" s="8" t="n">
        <f aca="false">B6/D6</f>
        <v>91.4755255172108</v>
      </c>
    </row>
    <row r="7" customFormat="false" ht="15" hidden="false" customHeight="false" outlineLevel="0" collapsed="false">
      <c r="A7" s="2" t="s">
        <v>186</v>
      </c>
      <c r="B7" s="6" t="n">
        <v>2695693487.6</v>
      </c>
      <c r="C7" s="7" t="n">
        <v>6417333</v>
      </c>
      <c r="D7" s="23" t="n">
        <v>33447075.8</v>
      </c>
      <c r="E7" s="8" t="n">
        <f aca="false">B7/C7</f>
        <v>420.064454750907</v>
      </c>
      <c r="F7" s="10" t="n">
        <f aca="false">E7/National_PMPM!$E$9-1</f>
        <v>-0.0504898253876099</v>
      </c>
      <c r="G7" s="15" t="n">
        <f aca="false">RANK(E7,$E$5:$E$55)</f>
        <v>26</v>
      </c>
      <c r="H7" s="24" t="n">
        <f aca="false">D7/C7</f>
        <v>5.21199005879857</v>
      </c>
      <c r="I7" s="8" t="n">
        <f aca="false">B7/D7</f>
        <v>80.5957897102622</v>
      </c>
    </row>
    <row r="8" customFormat="false" ht="15" hidden="false" customHeight="false" outlineLevel="0" collapsed="false">
      <c r="A8" s="2" t="s">
        <v>187</v>
      </c>
      <c r="B8" s="6" t="n">
        <v>5351741007.56</v>
      </c>
      <c r="C8" s="7" t="n">
        <v>14343030</v>
      </c>
      <c r="D8" s="23" t="n">
        <v>60476871.3</v>
      </c>
      <c r="E8" s="8" t="n">
        <f aca="false">B8/C8</f>
        <v>373.124856293266</v>
      </c>
      <c r="F8" s="10" t="n">
        <f aca="false">E8/National_PMPM!$E$9-1</f>
        <v>-0.15659170052527</v>
      </c>
      <c r="G8" s="15" t="n">
        <f aca="false">RANK(E8,$E$5:$E$55)</f>
        <v>39</v>
      </c>
      <c r="H8" s="24" t="n">
        <f aca="false">D8/C8</f>
        <v>4.21646411532291</v>
      </c>
      <c r="I8" s="8" t="n">
        <f aca="false">B8/D8</f>
        <v>88.4923590212247</v>
      </c>
    </row>
    <row r="9" customFormat="false" ht="15" hidden="false" customHeight="false" outlineLevel="0" collapsed="false">
      <c r="A9" s="2" t="s">
        <v>188</v>
      </c>
      <c r="B9" s="6" t="n">
        <v>27329194156.061</v>
      </c>
      <c r="C9" s="7" t="n">
        <v>69123219</v>
      </c>
      <c r="D9" s="23" t="n">
        <v>289802160.2</v>
      </c>
      <c r="E9" s="8" t="n">
        <f aca="false">B9/C9</f>
        <v>395.369234121765</v>
      </c>
      <c r="F9" s="10" t="n">
        <f aca="false">E9/National_PMPM!$E$9-1</f>
        <v>-0.106310695224294</v>
      </c>
      <c r="G9" s="15" t="n">
        <f aca="false">RANK(E9,$E$5:$E$55)</f>
        <v>32</v>
      </c>
      <c r="H9" s="24" t="n">
        <f aca="false">D9/C9</f>
        <v>4.19254433448766</v>
      </c>
      <c r="I9" s="8" t="n">
        <f aca="false">B9/D9</f>
        <v>94.3029345854441</v>
      </c>
    </row>
    <row r="10" customFormat="false" ht="15" hidden="false" customHeight="false" outlineLevel="0" collapsed="false">
      <c r="A10" s="2" t="s">
        <v>189</v>
      </c>
      <c r="B10" s="6" t="n">
        <v>3697090882.46</v>
      </c>
      <c r="C10" s="7" t="n">
        <v>9896428</v>
      </c>
      <c r="D10" s="23" t="n">
        <v>39765644.8</v>
      </c>
      <c r="E10" s="8" t="n">
        <f aca="false">B10/C10</f>
        <v>373.578313555153</v>
      </c>
      <c r="F10" s="10" t="n">
        <f aca="false">E10/National_PMPM!$E$9-1</f>
        <v>-0.15556670952914</v>
      </c>
      <c r="G10" s="15" t="n">
        <f aca="false">RANK(E10,$E$5:$E$55)</f>
        <v>38</v>
      </c>
      <c r="H10" s="24" t="n">
        <f aca="false">D10/C10</f>
        <v>4.01818159036776</v>
      </c>
      <c r="I10" s="8" t="n">
        <f aca="false">B10/D10</f>
        <v>92.9719837576983</v>
      </c>
    </row>
    <row r="11" customFormat="false" ht="15" hidden="false" customHeight="false" outlineLevel="0" collapsed="false">
      <c r="A11" s="2" t="s">
        <v>190</v>
      </c>
      <c r="B11" s="6" t="n">
        <v>4104129109.33</v>
      </c>
      <c r="C11" s="7" t="n">
        <v>7458155</v>
      </c>
      <c r="D11" s="23" t="n">
        <v>37183439.7</v>
      </c>
      <c r="E11" s="8" t="n">
        <f aca="false">B11/C11</f>
        <v>550.287451699516</v>
      </c>
      <c r="F11" s="10" t="n">
        <f aca="false">E11/National_PMPM!$E$9-1</f>
        <v>0.243865146028727</v>
      </c>
      <c r="G11" s="15" t="n">
        <f aca="false">RANK(E11,$E$5:$E$55)</f>
        <v>3</v>
      </c>
      <c r="H11" s="24" t="n">
        <f aca="false">D11/C11</f>
        <v>4.98560833074668</v>
      </c>
      <c r="I11" s="8" t="n">
        <f aca="false">B11/D11</f>
        <v>110.375186976852</v>
      </c>
    </row>
    <row r="12" customFormat="false" ht="15" hidden="false" customHeight="false" outlineLevel="0" collapsed="false">
      <c r="A12" s="2" t="s">
        <v>191</v>
      </c>
      <c r="B12" s="6" t="n">
        <v>716086337.38</v>
      </c>
      <c r="C12" s="7" t="n">
        <v>852257</v>
      </c>
      <c r="D12" s="23" t="n">
        <v>4644670.2</v>
      </c>
      <c r="E12" s="8" t="n">
        <f aca="false">B12/C12</f>
        <v>840.223474116376</v>
      </c>
      <c r="F12" s="10" t="n">
        <f aca="false">E12/National_PMPM!$E$9-1</f>
        <v>0.899234102287363</v>
      </c>
      <c r="G12" s="15" t="n">
        <f aca="false">RANK(E12,$E$5:$E$55)</f>
        <v>1</v>
      </c>
      <c r="H12" s="24" t="n">
        <f aca="false">D12/C12</f>
        <v>5.44984693584212</v>
      </c>
      <c r="I12" s="8" t="n">
        <f aca="false">B12/D12</f>
        <v>154.173774788143</v>
      </c>
    </row>
    <row r="13" customFormat="false" ht="15" hidden="false" customHeight="false" outlineLevel="0" collapsed="false">
      <c r="A13" s="2" t="s">
        <v>192</v>
      </c>
      <c r="B13" s="6" t="n">
        <v>940607824.07</v>
      </c>
      <c r="C13" s="7" t="n">
        <v>2371271</v>
      </c>
      <c r="D13" s="23" t="n">
        <v>10464734.4</v>
      </c>
      <c r="E13" s="8" t="n">
        <f aca="false">B13/C13</f>
        <v>396.668210453381</v>
      </c>
      <c r="F13" s="10" t="n">
        <f aca="false">E13/National_PMPM!$E$9-1</f>
        <v>-0.103374500005915</v>
      </c>
      <c r="G13" s="15" t="n">
        <f aca="false">RANK(E13,$E$5:$E$55)</f>
        <v>31</v>
      </c>
      <c r="H13" s="24" t="n">
        <f aca="false">D13/C13</f>
        <v>4.41313304130991</v>
      </c>
      <c r="I13" s="8" t="n">
        <f aca="false">B13/D13</f>
        <v>89.8835831007809</v>
      </c>
    </row>
    <row r="14" customFormat="false" ht="15" hidden="false" customHeight="false" outlineLevel="0" collapsed="false">
      <c r="A14" s="2" t="s">
        <v>193</v>
      </c>
      <c r="B14" s="6" t="n">
        <v>21460946792.55</v>
      </c>
      <c r="C14" s="7" t="n">
        <v>50517563</v>
      </c>
      <c r="D14" s="23" t="n">
        <v>249903524.8</v>
      </c>
      <c r="E14" s="8" t="n">
        <f aca="false">B14/C14</f>
        <v>424.821498070879</v>
      </c>
      <c r="F14" s="10" t="n">
        <f aca="false">E14/National_PMPM!$E$9-1</f>
        <v>-0.0397370445171982</v>
      </c>
      <c r="G14" s="15" t="n">
        <f aca="false">RANK(E14,$E$5:$E$55)</f>
        <v>24</v>
      </c>
      <c r="H14" s="24" t="n">
        <f aca="false">D14/C14</f>
        <v>4.94686421829177</v>
      </c>
      <c r="I14" s="8" t="n">
        <f aca="false">B14/D14</f>
        <v>85.8769271450868</v>
      </c>
    </row>
    <row r="15" customFormat="false" ht="15" hidden="false" customHeight="false" outlineLevel="0" collapsed="false">
      <c r="A15" s="2" t="s">
        <v>194</v>
      </c>
      <c r="B15" s="6" t="n">
        <v>9147289834.82</v>
      </c>
      <c r="C15" s="7" t="n">
        <v>18582235</v>
      </c>
      <c r="D15" s="23" t="n">
        <v>96712227.3</v>
      </c>
      <c r="E15" s="8" t="n">
        <f aca="false">B15/C15</f>
        <v>492.259937236829</v>
      </c>
      <c r="F15" s="10" t="n">
        <f aca="false">E15/National_PMPM!$E$9-1</f>
        <v>0.112700238437436</v>
      </c>
      <c r="G15" s="15" t="n">
        <f aca="false">RANK(E15,$E$5:$E$55)</f>
        <v>9</v>
      </c>
      <c r="H15" s="24" t="n">
        <f aca="false">D15/C15</f>
        <v>5.20455302066732</v>
      </c>
      <c r="I15" s="8" t="n">
        <f aca="false">B15/D15</f>
        <v>94.5825578646352</v>
      </c>
    </row>
    <row r="16" customFormat="false" ht="15" hidden="false" customHeight="false" outlineLevel="0" collapsed="false">
      <c r="A16" s="2" t="s">
        <v>195</v>
      </c>
      <c r="B16" s="6" t="n">
        <v>997311911</v>
      </c>
      <c r="C16" s="7" t="n">
        <v>2754909</v>
      </c>
      <c r="D16" s="23" t="n">
        <v>9720544.1</v>
      </c>
      <c r="E16" s="8" t="n">
        <f aca="false">B16/C16</f>
        <v>362.012651234578</v>
      </c>
      <c r="F16" s="10" t="n">
        <f aca="false">E16/National_PMPM!$E$9-1</f>
        <v>-0.181709635752282</v>
      </c>
      <c r="G16" s="15" t="n">
        <f aca="false">RANK(E16,$E$5:$E$55)</f>
        <v>43</v>
      </c>
      <c r="H16" s="24" t="n">
        <f aca="false">D16/C16</f>
        <v>3.52844471450781</v>
      </c>
      <c r="I16" s="8" t="n">
        <f aca="false">B16/D16</f>
        <v>102.598362883823</v>
      </c>
    </row>
    <row r="17" customFormat="false" ht="15" hidden="false" customHeight="false" outlineLevel="0" collapsed="false">
      <c r="A17" s="2" t="s">
        <v>196</v>
      </c>
      <c r="B17" s="6" t="n">
        <v>2434921018.34</v>
      </c>
      <c r="C17" s="7" t="n">
        <v>6886528</v>
      </c>
      <c r="D17" s="23" t="n">
        <v>32847095</v>
      </c>
      <c r="E17" s="8" t="n">
        <f aca="false">B17/C17</f>
        <v>353.577451270074</v>
      </c>
      <c r="F17" s="10" t="n">
        <f aca="false">E17/National_PMPM!$E$9-1</f>
        <v>-0.200776491089842</v>
      </c>
      <c r="G17" s="15" t="n">
        <f aca="false">RANK(E17,$E$5:$E$55)</f>
        <v>45</v>
      </c>
      <c r="H17" s="24" t="n">
        <f aca="false">D17/C17</f>
        <v>4.76976133691753</v>
      </c>
      <c r="I17" s="8" t="n">
        <f aca="false">B17/D17</f>
        <v>74.1289608210407</v>
      </c>
    </row>
    <row r="18" customFormat="false" ht="15" hidden="false" customHeight="false" outlineLevel="0" collapsed="false">
      <c r="A18" s="2" t="s">
        <v>197</v>
      </c>
      <c r="B18" s="6" t="n">
        <v>1302724432.22</v>
      </c>
      <c r="C18" s="7" t="n">
        <v>3684971</v>
      </c>
      <c r="D18" s="23" t="n">
        <v>15356726.1</v>
      </c>
      <c r="E18" s="8" t="n">
        <f aca="false">B18/C18</f>
        <v>353.52365926896</v>
      </c>
      <c r="F18" s="10" t="n">
        <f aca="false">E18/National_PMPM!$E$9-1</f>
        <v>-0.200898082078541</v>
      </c>
      <c r="G18" s="15" t="n">
        <f aca="false">RANK(E18,$E$5:$E$55)</f>
        <v>46</v>
      </c>
      <c r="H18" s="24" t="n">
        <f aca="false">D18/C18</f>
        <v>4.16739401748345</v>
      </c>
      <c r="I18" s="8" t="n">
        <f aca="false">B18/D18</f>
        <v>84.8308697919669</v>
      </c>
    </row>
    <row r="19" customFormat="false" ht="15" hidden="false" customHeight="false" outlineLevel="0" collapsed="false">
      <c r="A19" s="2" t="s">
        <v>198</v>
      </c>
      <c r="B19" s="6" t="n">
        <v>9641050623.19</v>
      </c>
      <c r="C19" s="7" t="n">
        <v>23474318</v>
      </c>
      <c r="D19" s="23" t="n">
        <v>111583930.6</v>
      </c>
      <c r="E19" s="8" t="n">
        <f aca="false">B19/C19</f>
        <v>410.706314159585</v>
      </c>
      <c r="F19" s="10" t="n">
        <f aca="false">E19/National_PMPM!$E$9-1</f>
        <v>-0.0716428879864967</v>
      </c>
      <c r="G19" s="15" t="n">
        <f aca="false">RANK(E19,$E$5:$E$55)</f>
        <v>28</v>
      </c>
      <c r="H19" s="24" t="n">
        <f aca="false">D19/C19</f>
        <v>4.75344717576034</v>
      </c>
      <c r="I19" s="8" t="n">
        <f aca="false">B19/D19</f>
        <v>86.4017835843291</v>
      </c>
    </row>
    <row r="20" customFormat="false" ht="15" hidden="false" customHeight="false" outlineLevel="0" collapsed="false">
      <c r="A20" s="2" t="s">
        <v>199</v>
      </c>
      <c r="B20" s="6" t="n">
        <v>6496120570.06</v>
      </c>
      <c r="C20" s="7" t="n">
        <v>13793293</v>
      </c>
      <c r="D20" s="23" t="n">
        <v>74317611.5</v>
      </c>
      <c r="E20" s="8" t="n">
        <f aca="false">B20/C20</f>
        <v>470.962269130367</v>
      </c>
      <c r="F20" s="10" t="n">
        <f aca="false">E20/National_PMPM!$E$9-1</f>
        <v>0.0645591678615045</v>
      </c>
      <c r="G20" s="15" t="n">
        <f aca="false">RANK(E20,$E$5:$E$55)</f>
        <v>13</v>
      </c>
      <c r="H20" s="24" t="n">
        <f aca="false">D20/C20</f>
        <v>5.38795278980879</v>
      </c>
      <c r="I20" s="8" t="n">
        <f aca="false">B20/D20</f>
        <v>87.4102442065163</v>
      </c>
    </row>
    <row r="21" customFormat="false" ht="15" hidden="false" customHeight="false" outlineLevel="0" collapsed="false">
      <c r="A21" s="2" t="s">
        <v>200</v>
      </c>
      <c r="B21" s="6" t="n">
        <v>2350527944.11</v>
      </c>
      <c r="C21" s="7" t="n">
        <v>5577808</v>
      </c>
      <c r="D21" s="23" t="n">
        <v>28450013.4</v>
      </c>
      <c r="E21" s="8" t="n">
        <f aca="false">B21/C21</f>
        <v>421.407109048931</v>
      </c>
      <c r="F21" s="10" t="n">
        <f aca="false">E21/National_PMPM!$E$9-1</f>
        <v>-0.0474549008598556</v>
      </c>
      <c r="G21" s="15" t="n">
        <f aca="false">RANK(E21,$E$5:$E$55)</f>
        <v>25</v>
      </c>
      <c r="H21" s="24" t="n">
        <f aca="false">D21/C21</f>
        <v>5.10057237538474</v>
      </c>
      <c r="I21" s="8" t="n">
        <f aca="false">B21/D21</f>
        <v>82.6195724783033</v>
      </c>
    </row>
    <row r="22" customFormat="false" ht="15" hidden="false" customHeight="false" outlineLevel="0" collapsed="false">
      <c r="A22" s="2" t="s">
        <v>201</v>
      </c>
      <c r="B22" s="6" t="n">
        <v>4970762461.44</v>
      </c>
      <c r="C22" s="7" t="n">
        <v>9774209</v>
      </c>
      <c r="D22" s="23" t="n">
        <v>56879831.8</v>
      </c>
      <c r="E22" s="8" t="n">
        <f aca="false">B22/C22</f>
        <v>508.559051831202</v>
      </c>
      <c r="F22" s="10" t="n">
        <f aca="false">E22/National_PMPM!$E$9-1</f>
        <v>0.149542620527841</v>
      </c>
      <c r="G22" s="15" t="n">
        <f aca="false">RANK(E22,$E$5:$E$55)</f>
        <v>6</v>
      </c>
      <c r="H22" s="24" t="n">
        <f aca="false">D22/C22</f>
        <v>5.81937953240001</v>
      </c>
      <c r="I22" s="8" t="n">
        <f aca="false">B22/D22</f>
        <v>87.3905970558795</v>
      </c>
    </row>
    <row r="23" customFormat="false" ht="15" hidden="false" customHeight="false" outlineLevel="0" collapsed="false">
      <c r="A23" s="2" t="s">
        <v>202</v>
      </c>
      <c r="B23" s="6" t="n">
        <v>4811353029.63</v>
      </c>
      <c r="C23" s="7" t="n">
        <v>9351450</v>
      </c>
      <c r="D23" s="23" t="n">
        <v>51751612.9</v>
      </c>
      <c r="E23" s="8" t="n">
        <f aca="false">B23/C23</f>
        <v>514.50342242433</v>
      </c>
      <c r="F23" s="10" t="n">
        <f aca="false">E23/National_PMPM!$E$9-1</f>
        <v>0.162979226020179</v>
      </c>
      <c r="G23" s="15" t="n">
        <f aca="false">RANK(E23,$E$5:$E$55)</f>
        <v>5</v>
      </c>
      <c r="H23" s="24" t="n">
        <f aca="false">D23/C23</f>
        <v>5.53407363563939</v>
      </c>
      <c r="I23" s="8" t="n">
        <f aca="false">B23/D23</f>
        <v>92.9701077902057</v>
      </c>
    </row>
    <row r="24" customFormat="false" ht="15" hidden="false" customHeight="false" outlineLevel="0" collapsed="false">
      <c r="A24" s="2" t="s">
        <v>203</v>
      </c>
      <c r="B24" s="6" t="n">
        <v>7596536061.94</v>
      </c>
      <c r="C24" s="7" t="n">
        <v>14397561</v>
      </c>
      <c r="D24" s="23" t="n">
        <v>69643264.6</v>
      </c>
      <c r="E24" s="8" t="n">
        <f aca="false">B24/C24</f>
        <v>527.626593277848</v>
      </c>
      <c r="F24" s="10" t="n">
        <f aca="false">E24/National_PMPM!$E$9-1</f>
        <v>0.192642731483836</v>
      </c>
      <c r="G24" s="15" t="n">
        <f aca="false">RANK(E24,$E$5:$E$55)</f>
        <v>4</v>
      </c>
      <c r="H24" s="24" t="n">
        <f aca="false">D24/C24</f>
        <v>4.83715711293045</v>
      </c>
      <c r="I24" s="8" t="n">
        <f aca="false">B24/D24</f>
        <v>109.077828352406</v>
      </c>
    </row>
    <row r="25" customFormat="false" ht="15" hidden="false" customHeight="false" outlineLevel="0" collapsed="false">
      <c r="A25" s="2" t="s">
        <v>204</v>
      </c>
      <c r="B25" s="6" t="n">
        <v>4529722888.94</v>
      </c>
      <c r="C25" s="7" t="n">
        <v>9804332</v>
      </c>
      <c r="D25" s="23" t="n">
        <v>44894569</v>
      </c>
      <c r="E25" s="8" t="n">
        <f aca="false">B25/C25</f>
        <v>462.01239298506</v>
      </c>
      <c r="F25" s="10" t="n">
        <f aca="false">E25/National_PMPM!$E$9-1</f>
        <v>0.0443289427963334</v>
      </c>
      <c r="G25" s="15" t="n">
        <f aca="false">RANK(E25,$E$5:$E$55)</f>
        <v>14</v>
      </c>
      <c r="H25" s="24" t="n">
        <f aca="false">D25/C25</f>
        <v>4.57905434046909</v>
      </c>
      <c r="I25" s="8" t="n">
        <f aca="false">B25/D25</f>
        <v>100.896901113807</v>
      </c>
    </row>
    <row r="26" customFormat="false" ht="15" hidden="false" customHeight="false" outlineLevel="0" collapsed="false">
      <c r="A26" s="2" t="s">
        <v>205</v>
      </c>
      <c r="B26" s="6" t="n">
        <v>1436161015.18</v>
      </c>
      <c r="C26" s="7" t="n">
        <v>3706943</v>
      </c>
      <c r="D26" s="23" t="n">
        <v>15795808.2</v>
      </c>
      <c r="E26" s="8" t="n">
        <f aca="false">B26/C26</f>
        <v>387.424628644142</v>
      </c>
      <c r="F26" s="10" t="n">
        <f aca="false">E26/National_PMPM!$E$9-1</f>
        <v>-0.12426861489345</v>
      </c>
      <c r="G26" s="15" t="n">
        <f aca="false">RANK(E26,$E$5:$E$55)</f>
        <v>35</v>
      </c>
      <c r="H26" s="24" t="n">
        <f aca="false">D26/C26</f>
        <v>4.26114137714014</v>
      </c>
      <c r="I26" s="8" t="n">
        <f aca="false">B26/D26</f>
        <v>90.9203883078297</v>
      </c>
    </row>
    <row r="27" customFormat="false" ht="15" hidden="false" customHeight="false" outlineLevel="0" collapsed="false">
      <c r="A27" s="2" t="s">
        <v>206</v>
      </c>
      <c r="B27" s="6" t="n">
        <v>9837062539.35</v>
      </c>
      <c r="C27" s="7" t="n">
        <v>22879574</v>
      </c>
      <c r="D27" s="23" t="n">
        <v>107292799.7</v>
      </c>
      <c r="E27" s="8" t="n">
        <f aca="false">B27/C27</f>
        <v>429.949549731564</v>
      </c>
      <c r="F27" s="10" t="n">
        <f aca="false">E27/National_PMPM!$E$9-1</f>
        <v>-0.028145639501399</v>
      </c>
      <c r="G27" s="15" t="n">
        <f aca="false">RANK(E27,$E$5:$E$55)</f>
        <v>23</v>
      </c>
      <c r="H27" s="24" t="n">
        <f aca="false">D27/C27</f>
        <v>4.68945792871843</v>
      </c>
      <c r="I27" s="8" t="n">
        <f aca="false">B27/D27</f>
        <v>91.6842748707768</v>
      </c>
    </row>
    <row r="28" customFormat="false" ht="15" hidden="false" customHeight="false" outlineLevel="0" collapsed="false">
      <c r="A28" s="2" t="s">
        <v>207</v>
      </c>
      <c r="B28" s="6" t="n">
        <v>4307984520.42</v>
      </c>
      <c r="C28" s="7" t="n">
        <v>11445467</v>
      </c>
      <c r="D28" s="23" t="n">
        <v>51296309.1</v>
      </c>
      <c r="E28" s="8" t="n">
        <f aca="false">B28/C28</f>
        <v>376.392201420877</v>
      </c>
      <c r="F28" s="10" t="n">
        <f aca="false">E28/National_PMPM!$E$9-1</f>
        <v>-0.149206220969575</v>
      </c>
      <c r="G28" s="15" t="n">
        <f aca="false">RANK(E28,$E$5:$E$55)</f>
        <v>37</v>
      </c>
      <c r="H28" s="24" t="n">
        <f aca="false">D28/C28</f>
        <v>4.48180131924717</v>
      </c>
      <c r="I28" s="8" t="n">
        <f aca="false">B28/D28</f>
        <v>83.9823487499221</v>
      </c>
    </row>
    <row r="29" customFormat="false" ht="15" hidden="false" customHeight="false" outlineLevel="0" collapsed="false">
      <c r="A29" s="2" t="s">
        <v>208</v>
      </c>
      <c r="B29" s="6" t="n">
        <v>6002774746.39</v>
      </c>
      <c r="C29" s="7" t="n">
        <v>13095296</v>
      </c>
      <c r="D29" s="23" t="n">
        <v>69640794.4</v>
      </c>
      <c r="E29" s="8" t="n">
        <f aca="false">B29/C29</f>
        <v>458.391680981476</v>
      </c>
      <c r="F29" s="10" t="n">
        <f aca="false">E29/National_PMPM!$E$9-1</f>
        <v>0.0361447157143662</v>
      </c>
      <c r="G29" s="15" t="n">
        <f aca="false">RANK(E29,$E$5:$E$55)</f>
        <v>15</v>
      </c>
      <c r="H29" s="24" t="n">
        <f aca="false">D29/C29</f>
        <v>5.31800078440381</v>
      </c>
      <c r="I29" s="8" t="n">
        <f aca="false">B29/D29</f>
        <v>86.196241701545</v>
      </c>
    </row>
    <row r="30" customFormat="false" ht="15" hidden="false" customHeight="false" outlineLevel="0" collapsed="false">
      <c r="A30" s="2" t="s">
        <v>209</v>
      </c>
      <c r="B30" s="6" t="n">
        <v>2729482833.04</v>
      </c>
      <c r="C30" s="7" t="n">
        <v>6059150</v>
      </c>
      <c r="D30" s="23" t="n">
        <v>32604228.3</v>
      </c>
      <c r="E30" s="8" t="n">
        <f aca="false">B30/C30</f>
        <v>450.472893564279</v>
      </c>
      <c r="F30" s="10" t="n">
        <f aca="false">E30/National_PMPM!$E$9-1</f>
        <v>0.0182451549727174</v>
      </c>
      <c r="G30" s="15" t="n">
        <f aca="false">RANK(E30,$E$5:$E$55)</f>
        <v>17</v>
      </c>
      <c r="H30" s="24" t="n">
        <f aca="false">D30/C30</f>
        <v>5.3809904524562</v>
      </c>
      <c r="I30" s="8" t="n">
        <f aca="false">B30/D30</f>
        <v>83.7156091512217</v>
      </c>
    </row>
    <row r="31" customFormat="false" ht="15" hidden="false" customHeight="false" outlineLevel="0" collapsed="false">
      <c r="A31" s="2" t="s">
        <v>210</v>
      </c>
      <c r="B31" s="6" t="n">
        <v>704218866.42</v>
      </c>
      <c r="C31" s="7" t="n">
        <v>2375722</v>
      </c>
      <c r="D31" s="23" t="n">
        <v>9503711.1</v>
      </c>
      <c r="E31" s="8" t="n">
        <f aca="false">B31/C31</f>
        <v>296.423094293019</v>
      </c>
      <c r="F31" s="10" t="n">
        <f aca="false">E31/National_PMPM!$E$9-1</f>
        <v>-0.329967720815107</v>
      </c>
      <c r="G31" s="15" t="n">
        <f aca="false">RANK(E31,$E$5:$E$55)</f>
        <v>49</v>
      </c>
      <c r="H31" s="24" t="n">
        <f aca="false">D31/C31</f>
        <v>4.00034646309627</v>
      </c>
      <c r="I31" s="8" t="n">
        <f aca="false">B31/D31</f>
        <v>74.0993554002289</v>
      </c>
    </row>
    <row r="32" customFormat="false" ht="15" hidden="false" customHeight="false" outlineLevel="0" collapsed="false">
      <c r="A32" s="2" t="s">
        <v>211</v>
      </c>
      <c r="B32" s="6" t="n">
        <v>10224670833.6</v>
      </c>
      <c r="C32" s="7" t="n">
        <v>21606032</v>
      </c>
      <c r="D32" s="23" t="n">
        <v>109476518.2</v>
      </c>
      <c r="E32" s="8" t="n">
        <f aca="false">B32/C32</f>
        <v>473.232235960772</v>
      </c>
      <c r="F32" s="10" t="n">
        <f aca="false">E32/National_PMPM!$E$9-1</f>
        <v>0.0696901818692981</v>
      </c>
      <c r="G32" s="15" t="n">
        <f aca="false">RANK(E32,$E$5:$E$55)</f>
        <v>12</v>
      </c>
      <c r="H32" s="24" t="n">
        <f aca="false">D32/C32</f>
        <v>5.06694233351131</v>
      </c>
      <c r="I32" s="8" t="n">
        <f aca="false">B32/D32</f>
        <v>93.3960177188025</v>
      </c>
    </row>
    <row r="33" customFormat="false" ht="15" hidden="false" customHeight="false" outlineLevel="0" collapsed="false">
      <c r="A33" s="2" t="s">
        <v>212</v>
      </c>
      <c r="B33" s="6" t="n">
        <v>548699982.31</v>
      </c>
      <c r="C33" s="7" t="n">
        <v>1381298</v>
      </c>
      <c r="D33" s="23" t="n">
        <v>7580325.8</v>
      </c>
      <c r="E33" s="8" t="n">
        <f aca="false">B33/C33</f>
        <v>397.235051603637</v>
      </c>
      <c r="F33" s="10" t="n">
        <f aca="false">E33/National_PMPM!$E$9-1</f>
        <v>-0.102093217018342</v>
      </c>
      <c r="G33" s="15" t="n">
        <f aca="false">RANK(E33,$E$5:$E$55)</f>
        <v>30</v>
      </c>
      <c r="H33" s="24" t="n">
        <f aca="false">D33/C33</f>
        <v>5.48782797050311</v>
      </c>
      <c r="I33" s="8" t="n">
        <f aca="false">B33/D33</f>
        <v>72.3847492557642</v>
      </c>
    </row>
    <row r="34" customFormat="false" ht="15" hidden="false" customHeight="false" outlineLevel="0" collapsed="false">
      <c r="A34" s="2" t="s">
        <v>213</v>
      </c>
      <c r="B34" s="6" t="n">
        <v>1590729827.14</v>
      </c>
      <c r="C34" s="7" t="n">
        <v>3662085</v>
      </c>
      <c r="D34" s="23" t="n">
        <v>18415692.2</v>
      </c>
      <c r="E34" s="8" t="n">
        <f aca="false">B34/C34</f>
        <v>434.378182685547</v>
      </c>
      <c r="F34" s="10" t="n">
        <f aca="false">E34/National_PMPM!$E$9-1</f>
        <v>-0.0181351946711557</v>
      </c>
      <c r="G34" s="15" t="n">
        <f aca="false">RANK(E34,$E$5:$E$55)</f>
        <v>22</v>
      </c>
      <c r="H34" s="24" t="n">
        <f aca="false">D34/C34</f>
        <v>5.02874515474108</v>
      </c>
      <c r="I34" s="8" t="n">
        <f aca="false">B34/D34</f>
        <v>86.3790407585114</v>
      </c>
    </row>
    <row r="35" customFormat="false" ht="15" hidden="false" customHeight="false" outlineLevel="0" collapsed="false">
      <c r="A35" s="2" t="s">
        <v>214</v>
      </c>
      <c r="B35" s="6" t="n">
        <v>1148457053.8</v>
      </c>
      <c r="C35" s="7" t="n">
        <v>3102555</v>
      </c>
      <c r="D35" s="23" t="n">
        <v>13413791.9</v>
      </c>
      <c r="E35" s="8" t="n">
        <f aca="false">B35/C35</f>
        <v>370.164929807852</v>
      </c>
      <c r="F35" s="10" t="n">
        <f aca="false">E35/National_PMPM!$E$9-1</f>
        <v>-0.163282293557408</v>
      </c>
      <c r="G35" s="15" t="n">
        <f aca="false">RANK(E35,$E$5:$E$55)</f>
        <v>41</v>
      </c>
      <c r="H35" s="24" t="n">
        <f aca="false">D35/C35</f>
        <v>4.32346627215311</v>
      </c>
      <c r="I35" s="8" t="n">
        <f aca="false">B35/D35</f>
        <v>85.6176286587538</v>
      </c>
    </row>
    <row r="36" customFormat="false" ht="15" hidden="false" customHeight="false" outlineLevel="0" collapsed="false">
      <c r="A36" s="2" t="s">
        <v>215</v>
      </c>
      <c r="B36" s="6" t="n">
        <v>8022282030.63</v>
      </c>
      <c r="C36" s="7" t="n">
        <v>16886596</v>
      </c>
      <c r="D36" s="23" t="n">
        <v>78376519.4</v>
      </c>
      <c r="E36" s="8" t="n">
        <f aca="false">B36/C36</f>
        <v>475.06803802436</v>
      </c>
      <c r="F36" s="10" t="n">
        <f aca="false">E36/National_PMPM!$E$9-1</f>
        <v>0.0738398134752003</v>
      </c>
      <c r="G36" s="15" t="n">
        <f aca="false">RANK(E36,$E$5:$E$55)</f>
        <v>10</v>
      </c>
      <c r="H36" s="24" t="n">
        <f aca="false">D36/C36</f>
        <v>4.64134508813973</v>
      </c>
      <c r="I36" s="8" t="n">
        <f aca="false">B36/D36</f>
        <v>102.355681166291</v>
      </c>
    </row>
    <row r="37" customFormat="false" ht="15" hidden="false" customHeight="false" outlineLevel="0" collapsed="false">
      <c r="A37" s="2" t="s">
        <v>216</v>
      </c>
      <c r="B37" s="6" t="n">
        <v>1258800376.64</v>
      </c>
      <c r="C37" s="7" t="n">
        <v>4309186</v>
      </c>
      <c r="D37" s="23" t="n">
        <v>15612893</v>
      </c>
      <c r="E37" s="8" t="n">
        <f aca="false">B37/C37</f>
        <v>292.120223318279</v>
      </c>
      <c r="F37" s="10" t="n">
        <f aca="false">E37/National_PMPM!$E$9-1</f>
        <v>-0.339693894320987</v>
      </c>
      <c r="G37" s="15" t="n">
        <f aca="false">RANK(E37,$E$5:$E$55)</f>
        <v>50</v>
      </c>
      <c r="H37" s="24" t="n">
        <f aca="false">D37/C37</f>
        <v>3.62316525673294</v>
      </c>
      <c r="I37" s="8" t="n">
        <f aca="false">B37/D37</f>
        <v>80.6256967648469</v>
      </c>
    </row>
    <row r="38" customFormat="false" ht="15" hidden="false" customHeight="false" outlineLevel="0" collapsed="false">
      <c r="A38" s="2" t="s">
        <v>217</v>
      </c>
      <c r="B38" s="6" t="n">
        <v>2040613052.97</v>
      </c>
      <c r="C38" s="7" t="n">
        <v>5532922</v>
      </c>
      <c r="D38" s="23" t="n">
        <v>23682424</v>
      </c>
      <c r="E38" s="8" t="n">
        <f aca="false">B38/C38</f>
        <v>368.812908074612</v>
      </c>
      <c r="F38" s="10" t="n">
        <f aca="false">E38/National_PMPM!$E$9-1</f>
        <v>-0.166338392157251</v>
      </c>
      <c r="G38" s="15" t="n">
        <f aca="false">RANK(E38,$E$5:$E$55)</f>
        <v>42</v>
      </c>
      <c r="H38" s="24" t="n">
        <f aca="false">D38/C38</f>
        <v>4.28027432882661</v>
      </c>
      <c r="I38" s="8" t="n">
        <f aca="false">B38/D38</f>
        <v>86.1657173678674</v>
      </c>
    </row>
    <row r="39" customFormat="false" ht="15" hidden="false" customHeight="false" outlineLevel="0" collapsed="false">
      <c r="A39" s="2" t="s">
        <v>218</v>
      </c>
      <c r="B39" s="6" t="n">
        <v>22904243604.72</v>
      </c>
      <c r="C39" s="7" t="n">
        <v>38822594</v>
      </c>
      <c r="D39" s="23" t="n">
        <v>193645008.4</v>
      </c>
      <c r="E39" s="8" t="n">
        <f aca="false">B39/C39</f>
        <v>589.972004568268</v>
      </c>
      <c r="F39" s="10" t="n">
        <f aca="false">E39/National_PMPM!$E$9-1</f>
        <v>0.33356777689324</v>
      </c>
      <c r="G39" s="15" t="n">
        <f aca="false">RANK(E39,$E$5:$E$55)</f>
        <v>2</v>
      </c>
      <c r="H39" s="24" t="n">
        <f aca="false">D39/C39</f>
        <v>4.98794615321171</v>
      </c>
      <c r="I39" s="8" t="n">
        <f aca="false">B39/D39</f>
        <v>118.279545617867</v>
      </c>
    </row>
    <row r="40" customFormat="false" ht="15" hidden="false" customHeight="false" outlineLevel="0" collapsed="false">
      <c r="A40" s="2" t="s">
        <v>219</v>
      </c>
      <c r="B40" s="6" t="n">
        <v>11323351202.12</v>
      </c>
      <c r="C40" s="7" t="n">
        <v>25584054</v>
      </c>
      <c r="D40" s="23" t="n">
        <v>128025519</v>
      </c>
      <c r="E40" s="8" t="n">
        <f aca="false">B40/C40</f>
        <v>442.594094044673</v>
      </c>
      <c r="F40" s="10" t="n">
        <f aca="false">E40/National_PMPM!$E$9-1</f>
        <v>0.000435982539804147</v>
      </c>
      <c r="G40" s="15" t="n">
        <f aca="false">RANK(E40,$E$5:$E$55)</f>
        <v>21</v>
      </c>
      <c r="H40" s="24" t="n">
        <f aca="false">D40/C40</f>
        <v>5.00411385154206</v>
      </c>
      <c r="I40" s="8" t="n">
        <f aca="false">B40/D40</f>
        <v>88.4460480267219</v>
      </c>
    </row>
    <row r="41" customFormat="false" ht="15" hidden="false" customHeight="false" outlineLevel="0" collapsed="false">
      <c r="A41" s="2" t="s">
        <v>220</v>
      </c>
      <c r="B41" s="6" t="n">
        <v>3292576173.51</v>
      </c>
      <c r="C41" s="7" t="n">
        <v>7206045</v>
      </c>
      <c r="D41" s="23" t="n">
        <v>36464929.3</v>
      </c>
      <c r="E41" s="8" t="n">
        <f aca="false">B41/C41</f>
        <v>456.918625058545</v>
      </c>
      <c r="F41" s="10" t="n">
        <f aca="false">E41/National_PMPM!$E$9-1</f>
        <v>0.0328150324460548</v>
      </c>
      <c r="G41" s="15" t="n">
        <f aca="false">RANK(E41,$E$5:$E$55)</f>
        <v>16</v>
      </c>
      <c r="H41" s="24" t="n">
        <f aca="false">D41/C41</f>
        <v>5.06032494940012</v>
      </c>
      <c r="I41" s="8" t="n">
        <f aca="false">B41/D41</f>
        <v>90.2943248956197</v>
      </c>
    </row>
    <row r="42" customFormat="false" ht="15" hidden="false" customHeight="false" outlineLevel="0" collapsed="false">
      <c r="A42" s="2" t="s">
        <v>221</v>
      </c>
      <c r="B42" s="6" t="n">
        <v>3026763463.89</v>
      </c>
      <c r="C42" s="7" t="n">
        <v>9157113</v>
      </c>
      <c r="D42" s="23" t="n">
        <v>36821323.5</v>
      </c>
      <c r="E42" s="8" t="n">
        <f aca="false">B42/C42</f>
        <v>330.536869413974</v>
      </c>
      <c r="F42" s="10" t="n">
        <f aca="false">E42/National_PMPM!$E$9-1</f>
        <v>-0.252857229304957</v>
      </c>
      <c r="G42" s="15" t="n">
        <f aca="false">RANK(E42,$E$5:$E$55)</f>
        <v>48</v>
      </c>
      <c r="H42" s="24" t="n">
        <f aca="false">D42/C42</f>
        <v>4.02106247897127</v>
      </c>
      <c r="I42" s="8" t="n">
        <f aca="false">B42/D42</f>
        <v>82.2013761642761</v>
      </c>
    </row>
    <row r="43" customFormat="false" ht="15" hidden="false" customHeight="false" outlineLevel="0" collapsed="false">
      <c r="A43" s="2" t="s">
        <v>222</v>
      </c>
      <c r="B43" s="6" t="n">
        <v>13998391104.57</v>
      </c>
      <c r="C43" s="7" t="n">
        <v>29474673</v>
      </c>
      <c r="D43" s="23" t="n">
        <v>148448563.8</v>
      </c>
      <c r="E43" s="8" t="n">
        <f aca="false">B43/C43</f>
        <v>474.929479440535</v>
      </c>
      <c r="F43" s="10" t="n">
        <f aca="false">E43/National_PMPM!$E$9-1</f>
        <v>0.0735266168130377</v>
      </c>
      <c r="G43" s="15" t="n">
        <f aca="false">RANK(E43,$E$5:$E$55)</f>
        <v>11</v>
      </c>
      <c r="H43" s="24" t="n">
        <f aca="false">D43/C43</f>
        <v>5.03647873548928</v>
      </c>
      <c r="I43" s="8" t="n">
        <f aca="false">B43/D43</f>
        <v>94.2979220966367</v>
      </c>
    </row>
    <row r="44" customFormat="false" ht="15" hidden="false" customHeight="false" outlineLevel="0" collapsed="false">
      <c r="A44" s="2" t="s">
        <v>223</v>
      </c>
      <c r="B44" s="6" t="n">
        <v>952763190.24</v>
      </c>
      <c r="C44" s="7" t="n">
        <v>2415955</v>
      </c>
      <c r="D44" s="23" t="n">
        <v>11707943</v>
      </c>
      <c r="E44" s="8" t="n">
        <f aca="false">B44/C44</f>
        <v>394.362970436122</v>
      </c>
      <c r="F44" s="10" t="n">
        <f aca="false">E44/National_PMPM!$E$9-1</f>
        <v>-0.108585245229787</v>
      </c>
      <c r="G44" s="15" t="n">
        <f aca="false">RANK(E44,$E$5:$E$55)</f>
        <v>33</v>
      </c>
      <c r="H44" s="24" t="n">
        <f aca="false">D44/C44</f>
        <v>4.84609315984776</v>
      </c>
      <c r="I44" s="8" t="n">
        <f aca="false">B44/D44</f>
        <v>81.3775050186015</v>
      </c>
    </row>
    <row r="45" customFormat="false" ht="15" hidden="false" customHeight="false" outlineLevel="0" collapsed="false">
      <c r="A45" s="2" t="s">
        <v>224</v>
      </c>
      <c r="B45" s="6" t="n">
        <v>5221993047.51</v>
      </c>
      <c r="C45" s="7" t="n">
        <v>11690378</v>
      </c>
      <c r="D45" s="23" t="n">
        <v>56515577.3</v>
      </c>
      <c r="E45" s="8" t="n">
        <f aca="false">B45/C45</f>
        <v>446.691548169785</v>
      </c>
      <c r="F45" s="10" t="n">
        <f aca="false">E45/National_PMPM!$E$9-1</f>
        <v>0.00969783351957476</v>
      </c>
      <c r="G45" s="15" t="n">
        <f aca="false">RANK(E45,$E$5:$E$55)</f>
        <v>19</v>
      </c>
      <c r="H45" s="24" t="n">
        <f aca="false">D45/C45</f>
        <v>4.83436697256496</v>
      </c>
      <c r="I45" s="8" t="n">
        <f aca="false">B45/D45</f>
        <v>92.3991808451367</v>
      </c>
    </row>
    <row r="46" customFormat="false" ht="15" hidden="false" customHeight="false" outlineLevel="0" collapsed="false">
      <c r="A46" s="2" t="s">
        <v>225</v>
      </c>
      <c r="B46" s="6" t="n">
        <v>699174974.84</v>
      </c>
      <c r="C46" s="7" t="n">
        <v>1809727</v>
      </c>
      <c r="D46" s="23" t="n">
        <v>8390209.9</v>
      </c>
      <c r="E46" s="8" t="n">
        <f aca="false">B46/C46</f>
        <v>386.342788077981</v>
      </c>
      <c r="F46" s="10" t="n">
        <f aca="false">E46/National_PMPM!$E$9-1</f>
        <v>-0.126713998246553</v>
      </c>
      <c r="G46" s="15" t="n">
        <f aca="false">RANK(E46,$E$5:$E$55)</f>
        <v>36</v>
      </c>
      <c r="H46" s="24" t="n">
        <f aca="false">D46/C46</f>
        <v>4.63617435115904</v>
      </c>
      <c r="I46" s="8" t="n">
        <f aca="false">B46/D46</f>
        <v>83.332238784634</v>
      </c>
    </row>
    <row r="47" customFormat="false" ht="15" hidden="false" customHeight="false" outlineLevel="0" collapsed="false">
      <c r="A47" s="2" t="s">
        <v>226</v>
      </c>
      <c r="B47" s="6" t="n">
        <v>7130330387.55</v>
      </c>
      <c r="C47" s="7" t="n">
        <v>14308671</v>
      </c>
      <c r="D47" s="23" t="n">
        <v>80674454.8</v>
      </c>
      <c r="E47" s="8" t="n">
        <f aca="false">B47/C47</f>
        <v>498.322338080874</v>
      </c>
      <c r="F47" s="10" t="n">
        <f aca="false">E47/National_PMPM!$E$9-1</f>
        <v>0.126403638520201</v>
      </c>
      <c r="G47" s="15" t="n">
        <f aca="false">RANK(E47,$E$5:$E$55)</f>
        <v>8</v>
      </c>
      <c r="H47" s="24" t="n">
        <f aca="false">D47/C47</f>
        <v>5.63815149569097</v>
      </c>
      <c r="I47" s="8" t="n">
        <f aca="false">B47/D47</f>
        <v>88.3839922467006</v>
      </c>
    </row>
    <row r="48" customFormat="false" ht="15" hidden="false" customHeight="false" outlineLevel="0" collapsed="false">
      <c r="A48" s="2" t="s">
        <v>227</v>
      </c>
      <c r="B48" s="6" t="n">
        <v>20066859878.52</v>
      </c>
      <c r="C48" s="7" t="n">
        <v>45030884</v>
      </c>
      <c r="D48" s="23" t="n">
        <v>219468161.6</v>
      </c>
      <c r="E48" s="8" t="n">
        <f aca="false">B48/C48</f>
        <v>445.624382557535</v>
      </c>
      <c r="F48" s="10" t="n">
        <f aca="false">E48/National_PMPM!$E$9-1</f>
        <v>0.00728562130935861</v>
      </c>
      <c r="G48" s="15" t="n">
        <f aca="false">RANK(E48,$E$5:$E$55)</f>
        <v>20</v>
      </c>
      <c r="H48" s="24" t="n">
        <f aca="false">D48/C48</f>
        <v>4.87372536590665</v>
      </c>
      <c r="I48" s="8" t="n">
        <f aca="false">B48/D48</f>
        <v>91.4340364097714</v>
      </c>
    </row>
    <row r="49" customFormat="false" ht="15" hidden="false" customHeight="false" outlineLevel="0" collapsed="false">
      <c r="A49" s="2" t="s">
        <v>228</v>
      </c>
      <c r="B49" s="6" t="n">
        <v>1637846334.97</v>
      </c>
      <c r="C49" s="7" t="n">
        <v>4403054</v>
      </c>
      <c r="D49" s="23" t="n">
        <v>19896724.6</v>
      </c>
      <c r="E49" s="8" t="n">
        <f aca="false">B49/C49</f>
        <v>371.979615732626</v>
      </c>
      <c r="F49" s="10" t="n">
        <f aca="false">E49/National_PMPM!$E$9-1</f>
        <v>-0.159180392694789</v>
      </c>
      <c r="G49" s="15" t="n">
        <f aca="false">RANK(E49,$E$5:$E$55)</f>
        <v>40</v>
      </c>
      <c r="H49" s="24" t="n">
        <f aca="false">D49/C49</f>
        <v>4.51884637344898</v>
      </c>
      <c r="I49" s="8" t="n">
        <f aca="false">B49/D49</f>
        <v>82.3173847905599</v>
      </c>
    </row>
    <row r="50" customFormat="false" ht="15" hidden="false" customHeight="false" outlineLevel="0" collapsed="false">
      <c r="A50" s="2" t="s">
        <v>229</v>
      </c>
      <c r="B50" s="6" t="n">
        <v>6088163617</v>
      </c>
      <c r="C50" s="7" t="n">
        <v>14864709</v>
      </c>
      <c r="D50" s="23" t="n">
        <v>71034821.3</v>
      </c>
      <c r="E50" s="8" t="n">
        <f aca="false">B50/C50</f>
        <v>409.57166514326</v>
      </c>
      <c r="F50" s="10" t="n">
        <f aca="false">E50/National_PMPM!$E$9-1</f>
        <v>-0.0742076391179714</v>
      </c>
      <c r="G50" s="15" t="n">
        <f aca="false">RANK(E50,$E$5:$E$55)</f>
        <v>29</v>
      </c>
      <c r="H50" s="24" t="n">
        <f aca="false">D50/C50</f>
        <v>4.77875626761345</v>
      </c>
      <c r="I50" s="8" t="n">
        <f aca="false">B50/D50</f>
        <v>85.706749247499</v>
      </c>
    </row>
    <row r="51" customFormat="false" ht="15" hidden="false" customHeight="false" outlineLevel="0" collapsed="false">
      <c r="A51" s="2" t="s">
        <v>230</v>
      </c>
      <c r="B51" s="6" t="n">
        <v>541471873</v>
      </c>
      <c r="C51" s="7" t="n">
        <v>1579057</v>
      </c>
      <c r="D51" s="23" t="n">
        <v>5777210.6</v>
      </c>
      <c r="E51" s="8" t="n">
        <f aca="false">B51/C51</f>
        <v>342.908376961693</v>
      </c>
      <c r="F51" s="10" t="n">
        <f aca="false">E51/National_PMPM!$E$9-1</f>
        <v>-0.224892777280995</v>
      </c>
      <c r="G51" s="15" t="n">
        <f aca="false">RANK(E51,$E$5:$E$55)</f>
        <v>47</v>
      </c>
      <c r="H51" s="24" t="n">
        <f aca="false">D51/C51</f>
        <v>3.65864601467838</v>
      </c>
      <c r="I51" s="8" t="n">
        <f aca="false">B51/D51</f>
        <v>93.7254863099503</v>
      </c>
    </row>
    <row r="52" customFormat="false" ht="15" hidden="false" customHeight="false" outlineLevel="0" collapsed="false">
      <c r="A52" s="2" t="s">
        <v>231</v>
      </c>
      <c r="B52" s="6" t="n">
        <v>4822196302.53</v>
      </c>
      <c r="C52" s="7" t="n">
        <v>13354607</v>
      </c>
      <c r="D52" s="23" t="n">
        <v>56880050.3</v>
      </c>
      <c r="E52" s="8" t="n">
        <f aca="false">B52/C52</f>
        <v>361.088596806331</v>
      </c>
      <c r="F52" s="10" t="n">
        <f aca="false">E52/National_PMPM!$E$9-1</f>
        <v>-0.18379836064103</v>
      </c>
      <c r="G52" s="15" t="n">
        <f aca="false">RANK(E52,$E$5:$E$55)</f>
        <v>44</v>
      </c>
      <c r="H52" s="24" t="n">
        <f aca="false">D52/C52</f>
        <v>4.25920809949705</v>
      </c>
      <c r="I52" s="8" t="n">
        <f aca="false">B52/D52</f>
        <v>84.7783410369101</v>
      </c>
    </row>
    <row r="53" customFormat="false" ht="15" hidden="false" customHeight="false" outlineLevel="0" collapsed="false">
      <c r="A53" s="2" t="s">
        <v>232</v>
      </c>
      <c r="B53" s="6" t="n">
        <v>4879294846.49</v>
      </c>
      <c r="C53" s="7" t="n">
        <v>12444603</v>
      </c>
      <c r="D53" s="23" t="n">
        <v>60089802.3</v>
      </c>
      <c r="E53" s="8" t="n">
        <f aca="false">B53/C53</f>
        <v>392.081197486975</v>
      </c>
      <c r="F53" s="10" t="n">
        <f aca="false">E53/National_PMPM!$E$9-1</f>
        <v>-0.113742945689482</v>
      </c>
      <c r="G53" s="15" t="n">
        <f aca="false">RANK(E53,$E$5:$E$55)</f>
        <v>34</v>
      </c>
      <c r="H53" s="24" t="n">
        <f aca="false">D53/C53</f>
        <v>4.82858330635377</v>
      </c>
      <c r="I53" s="8" t="n">
        <f aca="false">B53/D53</f>
        <v>81.2000482566074</v>
      </c>
    </row>
    <row r="54" customFormat="false" ht="15" hidden="false" customHeight="false" outlineLevel="0" collapsed="false">
      <c r="A54" s="2" t="s">
        <v>233</v>
      </c>
      <c r="B54" s="6" t="n">
        <v>1881484793.41</v>
      </c>
      <c r="C54" s="7" t="n">
        <v>4194711</v>
      </c>
      <c r="D54" s="23" t="n">
        <v>23452325.8</v>
      </c>
      <c r="E54" s="8" t="n">
        <f aca="false">B54/C54</f>
        <v>448.537406607988</v>
      </c>
      <c r="F54" s="10" t="n">
        <f aca="false">E54/National_PMPM!$E$9-1</f>
        <v>0.0138701964704147</v>
      </c>
      <c r="G54" s="15" t="n">
        <f aca="false">RANK(E54,$E$5:$E$55)</f>
        <v>18</v>
      </c>
      <c r="H54" s="24" t="n">
        <f aca="false">D54/C54</f>
        <v>5.59092767058327</v>
      </c>
      <c r="I54" s="8" t="n">
        <f aca="false">B54/D54</f>
        <v>80.2259362016027</v>
      </c>
    </row>
    <row r="55" customFormat="false" ht="15" hidden="false" customHeight="false" outlineLevel="0" collapsed="false">
      <c r="A55" s="2" t="s">
        <v>234</v>
      </c>
      <c r="B55" s="6" t="n">
        <v>258653695.38</v>
      </c>
      <c r="C55" s="7" t="n">
        <v>1099499</v>
      </c>
      <c r="D55" s="23" t="n">
        <v>3924191.4</v>
      </c>
      <c r="E55" s="8" t="n">
        <f aca="false">B55/C55</f>
        <v>235.246867327756</v>
      </c>
      <c r="F55" s="10" t="n">
        <f aca="false">E55/National_PMPM!$E$9-1</f>
        <v>-0.468249951770258</v>
      </c>
      <c r="G55" s="15" t="n">
        <f aca="false">RANK(E55,$E$5:$E$55)</f>
        <v>51</v>
      </c>
      <c r="H55" s="24" t="n">
        <f aca="false">D55/C55</f>
        <v>3.56907227746455</v>
      </c>
      <c r="I55" s="8" t="n">
        <f aca="false">B55/D55</f>
        <v>65.9126095072733</v>
      </c>
    </row>
  </sheetData>
  <conditionalFormatting sqref="E5:E55">
    <cfRule type="colorScale" priority="2">
      <colorScale>
        <cfvo type="min" val="0"/>
        <cfvo type="max" val="0"/>
        <color rgb="FFDCE9F9"/>
        <color rgb="FF2A78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235</v>
      </c>
    </row>
    <row r="3" customFormat="false" ht="31.5" hidden="false" customHeight="true" outlineLevel="0" collapsed="false">
      <c r="A3" s="4" t="s">
        <v>236</v>
      </c>
      <c r="B3" s="4" t="s">
        <v>33</v>
      </c>
      <c r="C3" s="4" t="s">
        <v>237</v>
      </c>
      <c r="D3" s="4" t="s">
        <v>36</v>
      </c>
      <c r="E3" s="4" t="s">
        <v>238</v>
      </c>
      <c r="F3" s="4" t="s">
        <v>239</v>
      </c>
      <c r="G3" s="4" t="s">
        <v>240</v>
      </c>
      <c r="H3" s="4" t="s">
        <v>241</v>
      </c>
      <c r="I3" s="4" t="s">
        <v>242</v>
      </c>
    </row>
    <row r="4" customFormat="false" ht="15" hidden="false" customHeight="false" outlineLevel="0" collapsed="false">
      <c r="A4" s="15" t="n">
        <v>1</v>
      </c>
      <c r="B4" s="2" t="s">
        <v>46</v>
      </c>
      <c r="C4" s="6" t="n">
        <v>9936069813.8</v>
      </c>
      <c r="D4" s="6" t="n">
        <v>20774929225</v>
      </c>
      <c r="E4" s="10" t="n">
        <f aca="false">D4/National_PMPM!$B$9</f>
        <v>0.0719682839517574</v>
      </c>
      <c r="F4" s="10" t="n">
        <f aca="false">SUM($E$4:E4)</f>
        <v>0.0719682839517574</v>
      </c>
      <c r="G4" s="14" t="n">
        <f aca="false">D4-C4</f>
        <v>10838859411.2</v>
      </c>
      <c r="H4" s="7" t="n">
        <v>24061332</v>
      </c>
      <c r="I4" s="8" t="n">
        <f aca="false">D4/H4</f>
        <v>863.415592495046</v>
      </c>
    </row>
    <row r="5" customFormat="false" ht="15" hidden="false" customHeight="false" outlineLevel="0" collapsed="false">
      <c r="A5" s="15" t="n">
        <v>2</v>
      </c>
      <c r="B5" s="2" t="s">
        <v>47</v>
      </c>
      <c r="C5" s="6" t="n">
        <v>1455812267.1</v>
      </c>
      <c r="D5" s="6" t="n">
        <v>12970296347</v>
      </c>
      <c r="E5" s="10" t="n">
        <f aca="false">D5/National_PMPM!$B$9</f>
        <v>0.0449315595894329</v>
      </c>
      <c r="F5" s="10" t="n">
        <f aca="false">SUM($E$4:E5)</f>
        <v>0.11689984354119</v>
      </c>
      <c r="G5" s="14" t="n">
        <f aca="false">D5-C5</f>
        <v>11514484079.9</v>
      </c>
      <c r="H5" s="7" t="n">
        <v>10417182</v>
      </c>
      <c r="I5" s="8" t="n">
        <f aca="false">D5/H5</f>
        <v>1245.08685237524</v>
      </c>
    </row>
    <row r="6" customFormat="false" ht="15" hidden="false" customHeight="false" outlineLevel="0" collapsed="false">
      <c r="A6" s="15" t="n">
        <v>3</v>
      </c>
      <c r="B6" s="2" t="s">
        <v>48</v>
      </c>
      <c r="C6" s="6" t="n">
        <v>2376166292.5</v>
      </c>
      <c r="D6" s="6" t="n">
        <v>11435997421</v>
      </c>
      <c r="E6" s="10" t="n">
        <f aca="false">D6/National_PMPM!$B$9</f>
        <v>0.0396164579312108</v>
      </c>
      <c r="F6" s="10" t="n">
        <f aca="false">SUM($E$4:E6)</f>
        <v>0.156516301472401</v>
      </c>
      <c r="G6" s="14" t="n">
        <f aca="false">D6-C6</f>
        <v>9059831128.5</v>
      </c>
      <c r="H6" s="7" t="n">
        <v>11368280</v>
      </c>
      <c r="I6" s="8" t="n">
        <f aca="false">D6/H6</f>
        <v>1005.95669890256</v>
      </c>
    </row>
    <row r="7" customFormat="false" ht="15" hidden="false" customHeight="false" outlineLevel="0" collapsed="false">
      <c r="A7" s="15" t="n">
        <v>4</v>
      </c>
      <c r="B7" s="2" t="s">
        <v>49</v>
      </c>
      <c r="C7" s="6" t="n">
        <v>0</v>
      </c>
      <c r="D7" s="6" t="n">
        <v>6336942640.7</v>
      </c>
      <c r="E7" s="10" t="n">
        <f aca="false">D7/National_PMPM!$B$9</f>
        <v>0.021952367799313</v>
      </c>
      <c r="F7" s="10" t="n">
        <f aca="false">SUM($E$4:E7)</f>
        <v>0.178468669271714</v>
      </c>
      <c r="G7" s="14" t="n">
        <f aca="false">D7-C7</f>
        <v>6336942640.7</v>
      </c>
      <c r="H7" s="7" t="n">
        <v>5105397</v>
      </c>
      <c r="I7" s="8" t="n">
        <f aca="false">D7/H7</f>
        <v>1241.22426536075</v>
      </c>
    </row>
    <row r="8" customFormat="false" ht="15" hidden="false" customHeight="false" outlineLevel="0" collapsed="false">
      <c r="A8" s="15" t="n">
        <v>5</v>
      </c>
      <c r="B8" s="2" t="s">
        <v>50</v>
      </c>
      <c r="C8" s="6" t="n">
        <v>4701314805</v>
      </c>
      <c r="D8" s="6" t="n">
        <v>6232231839.7</v>
      </c>
      <c r="E8" s="10" t="n">
        <f aca="false">D8/National_PMPM!$B$9</f>
        <v>0.0215896297809271</v>
      </c>
      <c r="F8" s="10" t="n">
        <f aca="false">SUM($E$4:E8)</f>
        <v>0.200058299052641</v>
      </c>
      <c r="G8" s="14" t="n">
        <f aca="false">D8-C8</f>
        <v>1530917034.7</v>
      </c>
      <c r="H8" s="7" t="n">
        <v>6660246</v>
      </c>
      <c r="I8" s="8" t="n">
        <f aca="false">D8/H8</f>
        <v>935.735983280497</v>
      </c>
    </row>
    <row r="9" customFormat="false" ht="15" hidden="false" customHeight="false" outlineLevel="0" collapsed="false">
      <c r="A9" s="15" t="n">
        <v>6</v>
      </c>
      <c r="B9" s="2" t="s">
        <v>51</v>
      </c>
      <c r="C9" s="6" t="n">
        <v>3284873061.9</v>
      </c>
      <c r="D9" s="6" t="n">
        <v>5454134725.1</v>
      </c>
      <c r="E9" s="10" t="n">
        <f aca="false">D9/National_PMPM!$B$9</f>
        <v>0.0188941542161686</v>
      </c>
      <c r="F9" s="10" t="n">
        <f aca="false">SUM($E$4:E9)</f>
        <v>0.21895245326881</v>
      </c>
      <c r="G9" s="14" t="n">
        <f aca="false">D9-C9</f>
        <v>2169261663.2</v>
      </c>
      <c r="H9" s="7" t="n">
        <v>4305141</v>
      </c>
      <c r="I9" s="8" t="n">
        <f aca="false">D9/H9</f>
        <v>1266.88875581543</v>
      </c>
    </row>
    <row r="10" customFormat="false" ht="15" hidden="false" customHeight="false" outlineLevel="0" collapsed="false">
      <c r="A10" s="15" t="n">
        <v>7</v>
      </c>
      <c r="B10" s="2" t="s">
        <v>52</v>
      </c>
      <c r="C10" s="6" t="n">
        <v>1487802307.7</v>
      </c>
      <c r="D10" s="6" t="n">
        <v>5294401776.8</v>
      </c>
      <c r="E10" s="10" t="n">
        <f aca="false">D10/National_PMPM!$B$9</f>
        <v>0.0183408090733186</v>
      </c>
      <c r="F10" s="10" t="n">
        <f aca="false">SUM($E$4:E10)</f>
        <v>0.237293262342128</v>
      </c>
      <c r="G10" s="14" t="n">
        <f aca="false">D10-C10</f>
        <v>3806599469.1</v>
      </c>
      <c r="H10" s="7" t="n">
        <v>6250872</v>
      </c>
      <c r="I10" s="8" t="n">
        <f aca="false">D10/H10</f>
        <v>846.986112785544</v>
      </c>
    </row>
    <row r="11" customFormat="false" ht="15" hidden="false" customHeight="false" outlineLevel="0" collapsed="false">
      <c r="A11" s="15" t="n">
        <v>8</v>
      </c>
      <c r="B11" s="2" t="s">
        <v>53</v>
      </c>
      <c r="C11" s="6" t="n">
        <v>736787563.52</v>
      </c>
      <c r="D11" s="6" t="n">
        <v>5290548963.4</v>
      </c>
      <c r="E11" s="10" t="n">
        <f aca="false">D11/National_PMPM!$B$9</f>
        <v>0.0183274621990269</v>
      </c>
      <c r="F11" s="10" t="n">
        <f aca="false">SUM($E$4:E11)</f>
        <v>0.255620724541155</v>
      </c>
      <c r="G11" s="14" t="n">
        <f aca="false">D11-C11</f>
        <v>4553761399.88</v>
      </c>
      <c r="H11" s="7" t="n">
        <v>5634650</v>
      </c>
      <c r="I11" s="8" t="n">
        <f aca="false">D11/H11</f>
        <v>938.931249216899</v>
      </c>
    </row>
    <row r="12" customFormat="false" ht="15" hidden="false" customHeight="false" outlineLevel="0" collapsed="false">
      <c r="A12" s="15" t="n">
        <v>9</v>
      </c>
      <c r="B12" s="2" t="s">
        <v>54</v>
      </c>
      <c r="C12" s="6" t="n">
        <v>2169430424.1</v>
      </c>
      <c r="D12" s="6" t="n">
        <v>4328698864.2</v>
      </c>
      <c r="E12" s="10" t="n">
        <f aca="false">D12/National_PMPM!$B$9</f>
        <v>0.0149954315428189</v>
      </c>
      <c r="F12" s="10" t="n">
        <f aca="false">SUM($E$4:E12)</f>
        <v>0.270616156083974</v>
      </c>
      <c r="G12" s="14" t="n">
        <f aca="false">D12-C12</f>
        <v>2159268440.1</v>
      </c>
      <c r="H12" s="7" t="n">
        <v>490303</v>
      </c>
      <c r="I12" s="8" t="n">
        <f aca="false">D12/H12</f>
        <v>8828.61998437701</v>
      </c>
    </row>
    <row r="13" customFormat="false" ht="15" hidden="false" customHeight="false" outlineLevel="0" collapsed="false">
      <c r="A13" s="15" t="n">
        <v>10</v>
      </c>
      <c r="B13" s="2" t="s">
        <v>55</v>
      </c>
      <c r="C13" s="6" t="n">
        <v>5356050274.6</v>
      </c>
      <c r="D13" s="6" t="n">
        <v>4179511486.3</v>
      </c>
      <c r="E13" s="10" t="n">
        <f aca="false">D13/National_PMPM!$B$9</f>
        <v>0.0144786182502949</v>
      </c>
      <c r="F13" s="10" t="n">
        <f aca="false">SUM($E$4:E13)</f>
        <v>0.285094774334269</v>
      </c>
      <c r="G13" s="14" t="n">
        <f aca="false">D13-C13</f>
        <v>-1176538788.3</v>
      </c>
      <c r="H13" s="7" t="n">
        <v>239843</v>
      </c>
      <c r="I13" s="8" t="n">
        <f aca="false">D13/H13</f>
        <v>17426.0307213469</v>
      </c>
    </row>
    <row r="14" customFormat="false" ht="15" hidden="false" customHeight="false" outlineLevel="0" collapsed="false">
      <c r="A14" s="15" t="n">
        <v>11</v>
      </c>
      <c r="B14" s="2" t="s">
        <v>56</v>
      </c>
      <c r="C14" s="6" t="n">
        <v>1203043540</v>
      </c>
      <c r="D14" s="6" t="n">
        <v>4020321686.4</v>
      </c>
      <c r="E14" s="10" t="n">
        <f aca="false">D14/National_PMPM!$B$9</f>
        <v>0.013927154676227</v>
      </c>
      <c r="F14" s="10" t="n">
        <f aca="false">SUM($E$4:E14)</f>
        <v>0.299021929010496</v>
      </c>
      <c r="G14" s="14" t="n">
        <f aca="false">D14-C14</f>
        <v>2817278146.4</v>
      </c>
      <c r="H14" s="7" t="n">
        <v>3898804</v>
      </c>
      <c r="I14" s="8" t="n">
        <f aca="false">D14/H14</f>
        <v>1031.16793929626</v>
      </c>
    </row>
    <row r="15" customFormat="false" ht="15" hidden="false" customHeight="false" outlineLevel="0" collapsed="false">
      <c r="A15" s="15" t="n">
        <v>12</v>
      </c>
      <c r="B15" s="2" t="s">
        <v>57</v>
      </c>
      <c r="C15" s="6" t="n">
        <v>3865087772.5</v>
      </c>
      <c r="D15" s="6" t="n">
        <v>3807854661.8</v>
      </c>
      <c r="E15" s="10" t="n">
        <f aca="false">D15/National_PMPM!$B$9</f>
        <v>0.0131911287195947</v>
      </c>
      <c r="F15" s="10" t="n">
        <f aca="false">SUM($E$4:E15)</f>
        <v>0.312213057730091</v>
      </c>
      <c r="G15" s="14" t="n">
        <f aca="false">D15-C15</f>
        <v>-57233110.6999998</v>
      </c>
      <c r="H15" s="7" t="n">
        <v>4027317</v>
      </c>
      <c r="I15" s="8" t="n">
        <f aca="false">D15/H15</f>
        <v>945.506564742731</v>
      </c>
    </row>
    <row r="16" customFormat="false" ht="15" hidden="false" customHeight="false" outlineLevel="0" collapsed="false">
      <c r="A16" s="15" t="n">
        <v>13</v>
      </c>
      <c r="B16" s="2" t="s">
        <v>58</v>
      </c>
      <c r="C16" s="6" t="n">
        <v>1775846507.3</v>
      </c>
      <c r="D16" s="6" t="n">
        <v>3456061331.1</v>
      </c>
      <c r="E16" s="10" t="n">
        <f aca="false">D16/National_PMPM!$B$9</f>
        <v>0.0119724500881564</v>
      </c>
      <c r="F16" s="10" t="n">
        <f aca="false">SUM($E$4:E16)</f>
        <v>0.324185507818247</v>
      </c>
      <c r="G16" s="14" t="n">
        <f aca="false">D16-C16</f>
        <v>1680214823.8</v>
      </c>
      <c r="H16" s="7" t="n">
        <v>840772</v>
      </c>
      <c r="I16" s="8" t="n">
        <f aca="false">D16/H16</f>
        <v>4110.58090790369</v>
      </c>
    </row>
    <row r="17" customFormat="false" ht="15" hidden="false" customHeight="false" outlineLevel="0" collapsed="false">
      <c r="A17" s="15" t="n">
        <v>14</v>
      </c>
      <c r="B17" s="2" t="s">
        <v>59</v>
      </c>
      <c r="C17" s="6" t="n">
        <v>1968567948</v>
      </c>
      <c r="D17" s="6" t="n">
        <v>3400769228.6</v>
      </c>
      <c r="E17" s="10" t="n">
        <f aca="false">D17/National_PMPM!$B$9</f>
        <v>0.0117809077878235</v>
      </c>
      <c r="F17" s="10" t="n">
        <f aca="false">SUM($E$4:E17)</f>
        <v>0.335966415606071</v>
      </c>
      <c r="G17" s="14" t="n">
        <f aca="false">D17-C17</f>
        <v>1432201280.6</v>
      </c>
      <c r="H17" s="7" t="n">
        <v>255669</v>
      </c>
      <c r="I17" s="8" t="n">
        <f aca="false">D17/H17</f>
        <v>13301.4531624874</v>
      </c>
    </row>
    <row r="18" customFormat="false" ht="15" hidden="false" customHeight="false" outlineLevel="0" collapsed="false">
      <c r="A18" s="15" t="n">
        <v>15</v>
      </c>
      <c r="B18" s="2" t="s">
        <v>60</v>
      </c>
      <c r="C18" s="6" t="n">
        <v>1106356248.4</v>
      </c>
      <c r="D18" s="6" t="n">
        <v>3378017374.1</v>
      </c>
      <c r="E18" s="10" t="n">
        <f aca="false">D18/National_PMPM!$B$9</f>
        <v>0.0117020910608276</v>
      </c>
      <c r="F18" s="10" t="n">
        <f aca="false">SUM($E$4:E18)</f>
        <v>0.347668506666898</v>
      </c>
      <c r="G18" s="14" t="n">
        <f aca="false">D18-C18</f>
        <v>2271661125.7</v>
      </c>
      <c r="H18" s="7" t="n">
        <v>132865</v>
      </c>
      <c r="I18" s="8" t="n">
        <f aca="false">D18/H18</f>
        <v>25424.4336288714</v>
      </c>
    </row>
    <row r="19" customFormat="false" ht="15" hidden="false" customHeight="false" outlineLevel="0" collapsed="false">
      <c r="A19" s="15" t="n">
        <v>16</v>
      </c>
      <c r="B19" s="2" t="s">
        <v>61</v>
      </c>
      <c r="C19" s="6" t="n">
        <v>253267540.59</v>
      </c>
      <c r="D19" s="6" t="n">
        <v>2830811857.1</v>
      </c>
      <c r="E19" s="10" t="n">
        <f aca="false">D19/National_PMPM!$B$9</f>
        <v>0.00980646765817199</v>
      </c>
      <c r="F19" s="10" t="n">
        <f aca="false">SUM($E$4:E19)</f>
        <v>0.35747497432507</v>
      </c>
      <c r="G19" s="14" t="n">
        <f aca="false">D19-C19</f>
        <v>2577544316.51</v>
      </c>
      <c r="H19" s="7" t="n">
        <v>109373</v>
      </c>
      <c r="I19" s="8" t="n">
        <f aca="false">D19/H19</f>
        <v>25882.1816819508</v>
      </c>
    </row>
    <row r="20" customFormat="false" ht="15" hidden="false" customHeight="false" outlineLevel="0" collapsed="false">
      <c r="A20" s="15" t="n">
        <v>17</v>
      </c>
      <c r="B20" s="2" t="s">
        <v>62</v>
      </c>
      <c r="C20" s="6" t="n">
        <v>0</v>
      </c>
      <c r="D20" s="6" t="n">
        <v>2640854799.8</v>
      </c>
      <c r="E20" s="10" t="n">
        <f aca="false">D20/National_PMPM!$B$9</f>
        <v>0.00914842048552721</v>
      </c>
      <c r="F20" s="10" t="n">
        <f aca="false">SUM($E$4:E20)</f>
        <v>0.366623394810598</v>
      </c>
      <c r="G20" s="14" t="n">
        <f aca="false">D20-C20</f>
        <v>2640854799.8</v>
      </c>
      <c r="H20" s="7" t="n">
        <v>198067</v>
      </c>
      <c r="I20" s="8" t="n">
        <f aca="false">D20/H20</f>
        <v>13333.1387853605</v>
      </c>
    </row>
    <row r="21" customFormat="false" ht="15" hidden="false" customHeight="false" outlineLevel="0" collapsed="false">
      <c r="A21" s="15" t="n">
        <v>18</v>
      </c>
      <c r="B21" s="2" t="s">
        <v>63</v>
      </c>
      <c r="C21" s="6" t="n">
        <v>1371059067.7</v>
      </c>
      <c r="D21" s="6" t="n">
        <v>2337152869.1</v>
      </c>
      <c r="E21" s="10" t="n">
        <f aca="false">D21/National_PMPM!$B$9</f>
        <v>0.00809633955910882</v>
      </c>
      <c r="F21" s="10" t="n">
        <f aca="false">SUM($E$4:E21)</f>
        <v>0.374719734369706</v>
      </c>
      <c r="G21" s="14" t="n">
        <f aca="false">D21-C21</f>
        <v>966093801.4</v>
      </c>
      <c r="H21" s="7" t="n">
        <v>296022</v>
      </c>
      <c r="I21" s="8" t="n">
        <f aca="false">D21/H21</f>
        <v>7895.19991453338</v>
      </c>
    </row>
    <row r="22" customFormat="false" ht="15" hidden="false" customHeight="false" outlineLevel="0" collapsed="false">
      <c r="A22" s="15" t="n">
        <v>19</v>
      </c>
      <c r="B22" s="2" t="s">
        <v>64</v>
      </c>
      <c r="C22" s="6" t="n">
        <v>1749232347.3</v>
      </c>
      <c r="D22" s="6" t="n">
        <v>2297067833.5</v>
      </c>
      <c r="E22" s="10" t="n">
        <f aca="false">D22/National_PMPM!$B$9</f>
        <v>0.0079574774145964</v>
      </c>
      <c r="F22" s="10" t="n">
        <f aca="false">SUM($E$4:E22)</f>
        <v>0.382677211784303</v>
      </c>
      <c r="G22" s="14" t="n">
        <f aca="false">D22-C22</f>
        <v>547835486.2</v>
      </c>
      <c r="H22" s="7" t="n">
        <v>3453189</v>
      </c>
      <c r="I22" s="8" t="n">
        <f aca="false">D22/H22</f>
        <v>665.20188541664</v>
      </c>
    </row>
    <row r="23" customFormat="false" ht="15" hidden="false" customHeight="false" outlineLevel="0" collapsed="false">
      <c r="A23" s="15" t="n">
        <v>20</v>
      </c>
      <c r="B23" s="2" t="s">
        <v>65</v>
      </c>
      <c r="C23" s="6" t="n">
        <v>2962909303.6</v>
      </c>
      <c r="D23" s="6" t="n">
        <v>2266252031.7</v>
      </c>
      <c r="E23" s="10" t="n">
        <f aca="false">D23/National_PMPM!$B$9</f>
        <v>0.00785072564903685</v>
      </c>
      <c r="F23" s="10" t="n">
        <f aca="false">SUM($E$4:E23)</f>
        <v>0.39052793743334</v>
      </c>
      <c r="G23" s="14" t="n">
        <f aca="false">D23-C23</f>
        <v>-696657271.9</v>
      </c>
      <c r="H23" s="7" t="n">
        <v>146416</v>
      </c>
      <c r="I23" s="8" t="n">
        <f aca="false">D23/H23</f>
        <v>15478.1720010108</v>
      </c>
    </row>
    <row r="24" customFormat="false" ht="15" hidden="false" customHeight="false" outlineLevel="0" collapsed="false">
      <c r="A24" s="15" t="n">
        <v>21</v>
      </c>
      <c r="B24" s="2" t="s">
        <v>66</v>
      </c>
      <c r="C24" s="6" t="n">
        <v>1453860766.6</v>
      </c>
      <c r="D24" s="6" t="n">
        <v>2150231814.6</v>
      </c>
      <c r="E24" s="10" t="n">
        <f aca="false">D24/National_PMPM!$B$9</f>
        <v>0.00744880967435572</v>
      </c>
      <c r="F24" s="10" t="n">
        <f aca="false">SUM($E$4:E24)</f>
        <v>0.397976747107695</v>
      </c>
      <c r="G24" s="14" t="n">
        <f aca="false">D24-C24</f>
        <v>696371048</v>
      </c>
      <c r="H24" s="7" t="n">
        <v>98648</v>
      </c>
      <c r="I24" s="8" t="n">
        <f aca="false">D24/H24</f>
        <v>21797.0137722001</v>
      </c>
    </row>
    <row r="25" customFormat="false" ht="15" hidden="false" customHeight="false" outlineLevel="0" collapsed="false">
      <c r="A25" s="15" t="n">
        <v>22</v>
      </c>
      <c r="B25" s="2" t="s">
        <v>67</v>
      </c>
      <c r="C25" s="6" t="n">
        <v>1157563827.8</v>
      </c>
      <c r="D25" s="6" t="n">
        <v>2086398978.9</v>
      </c>
      <c r="E25" s="10" t="n">
        <f aca="false">D25/National_PMPM!$B$9</f>
        <v>0.00722768065892807</v>
      </c>
      <c r="F25" s="10" t="n">
        <f aca="false">SUM($E$4:E25)</f>
        <v>0.405204427766623</v>
      </c>
      <c r="G25" s="14" t="n">
        <f aca="false">D25-C25</f>
        <v>928835151.1</v>
      </c>
      <c r="H25" s="7" t="n">
        <v>161717</v>
      </c>
      <c r="I25" s="8" t="n">
        <f aca="false">D25/H25</f>
        <v>12901.5439248811</v>
      </c>
    </row>
    <row r="26" customFormat="false" ht="15" hidden="false" customHeight="false" outlineLevel="0" collapsed="false">
      <c r="A26" s="15" t="n">
        <v>23</v>
      </c>
      <c r="B26" s="2" t="s">
        <v>68</v>
      </c>
      <c r="C26" s="6" t="n">
        <v>1296674522.1</v>
      </c>
      <c r="D26" s="6" t="n">
        <v>2082741189.3</v>
      </c>
      <c r="E26" s="10" t="n">
        <f aca="false">D26/National_PMPM!$B$9</f>
        <v>0.00721500938396402</v>
      </c>
      <c r="F26" s="10" t="n">
        <f aca="false">SUM($E$4:E26)</f>
        <v>0.412419437150587</v>
      </c>
      <c r="G26" s="14" t="n">
        <f aca="false">D26-C26</f>
        <v>786066667.2</v>
      </c>
      <c r="H26" s="7" t="n">
        <v>130891</v>
      </c>
      <c r="I26" s="8" t="n">
        <f aca="false">D26/H26</f>
        <v>15912.027483173</v>
      </c>
    </row>
    <row r="27" customFormat="false" ht="15" hidden="false" customHeight="false" outlineLevel="0" collapsed="false">
      <c r="A27" s="15" t="n">
        <v>24</v>
      </c>
      <c r="B27" s="2" t="s">
        <v>69</v>
      </c>
      <c r="C27" s="6" t="n">
        <v>2108937188.3</v>
      </c>
      <c r="D27" s="6" t="n">
        <v>2035022061.3</v>
      </c>
      <c r="E27" s="10" t="n">
        <f aca="false">D27/National_PMPM!$B$9</f>
        <v>0.00704970129955902</v>
      </c>
      <c r="F27" s="10" t="n">
        <f aca="false">SUM($E$4:E27)</f>
        <v>0.419469138450146</v>
      </c>
      <c r="G27" s="14" t="n">
        <f aca="false">D27-C27</f>
        <v>-73915127</v>
      </c>
      <c r="H27" s="7" t="n">
        <v>131537</v>
      </c>
      <c r="I27" s="8" t="n">
        <f aca="false">D27/H27</f>
        <v>15471.099852513</v>
      </c>
    </row>
    <row r="28" customFormat="false" ht="15" hidden="false" customHeight="false" outlineLevel="0" collapsed="false">
      <c r="A28" s="15" t="n">
        <v>25</v>
      </c>
      <c r="B28" s="2" t="s">
        <v>70</v>
      </c>
      <c r="C28" s="6" t="n">
        <v>1144468127.9</v>
      </c>
      <c r="D28" s="6" t="n">
        <v>1981958629.2</v>
      </c>
      <c r="E28" s="10" t="n">
        <f aca="false">D28/National_PMPM!$B$9</f>
        <v>0.00686587953499522</v>
      </c>
      <c r="F28" s="10" t="n">
        <f aca="false">SUM($E$4:E28)</f>
        <v>0.426335017985142</v>
      </c>
      <c r="G28" s="14" t="n">
        <f aca="false">D28-C28</f>
        <v>837490501.3</v>
      </c>
      <c r="H28" s="7" t="n">
        <v>2506531</v>
      </c>
      <c r="I28" s="8" t="n">
        <f aca="false">D28/H28</f>
        <v>790.717780550091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243</v>
      </c>
    </row>
    <row r="3" customFormat="false" ht="31.5" hidden="false" customHeight="true" outlineLevel="0" collapsed="false">
      <c r="A3" s="4" t="s">
        <v>244</v>
      </c>
      <c r="B3" s="4" t="s">
        <v>245</v>
      </c>
      <c r="C3" s="4" t="s">
        <v>246</v>
      </c>
      <c r="D3" s="4" t="s">
        <v>247</v>
      </c>
      <c r="E3" s="4" t="s">
        <v>248</v>
      </c>
      <c r="F3" s="4" t="s">
        <v>249</v>
      </c>
    </row>
    <row r="4" customFormat="false" ht="15" hidden="false" customHeight="false" outlineLevel="0" collapsed="false">
      <c r="A4" s="2" t="s">
        <v>250</v>
      </c>
      <c r="B4" s="7" t="n">
        <v>288667842058.4</v>
      </c>
      <c r="C4" s="7" t="n">
        <v>288569675757.15</v>
      </c>
      <c r="D4" s="25" t="n">
        <f aca="false">IF(B4=0,0,C4/B4-1)</f>
        <v>-0.000340066633505165</v>
      </c>
      <c r="E4" s="26" t="n">
        <v>0.005</v>
      </c>
      <c r="F4" s="2" t="str">
        <f aca="false">IF(ABS(D4)&lt;=E4,"pass","FAIL")</f>
        <v>pass</v>
      </c>
    </row>
    <row r="5" customFormat="false" ht="15" hidden="false" customHeight="false" outlineLevel="0" collapsed="false">
      <c r="A5" s="2" t="s">
        <v>251</v>
      </c>
      <c r="B5" s="7" t="n">
        <v>288569675757.15</v>
      </c>
      <c r="C5" s="7" t="n">
        <v>288019203825.861</v>
      </c>
      <c r="D5" s="25" t="n">
        <f aca="false">IF(B5=0,0,C5/B5-1)</f>
        <v>-0.00190758758641107</v>
      </c>
      <c r="E5" s="26" t="n">
        <v>0.01</v>
      </c>
      <c r="F5" s="2" t="str">
        <f aca="false">IF(ABS(D5)&lt;=E5,"pass","FAIL")</f>
        <v>pass</v>
      </c>
    </row>
    <row r="6" customFormat="false" ht="15" hidden="false" customHeight="false" outlineLevel="0" collapsed="false">
      <c r="A6" s="2" t="s">
        <v>252</v>
      </c>
      <c r="B6" s="7" t="n">
        <v>54807408</v>
      </c>
      <c r="C6" s="7" t="n">
        <v>54807408</v>
      </c>
      <c r="D6" s="25" t="n">
        <f aca="false">IF(B6=0,0,C6/B6-1)</f>
        <v>0</v>
      </c>
      <c r="E6" s="26" t="n">
        <v>0.001</v>
      </c>
      <c r="F6" s="2" t="str">
        <f aca="false">IF(ABS(D6)&lt;=E6,"pass","FAIL")</f>
        <v>pass</v>
      </c>
    </row>
    <row r="7" customFormat="false" ht="15" hidden="false" customHeight="false" outlineLevel="0" collapsed="false">
      <c r="A7" s="2" t="s">
        <v>253</v>
      </c>
      <c r="B7" s="7" t="n">
        <v>395</v>
      </c>
      <c r="C7" s="7" t="n">
        <v>3625</v>
      </c>
      <c r="D7" s="10" t="n">
        <f aca="false">B7/C7</f>
        <v>0.108965517241379</v>
      </c>
      <c r="E7" s="2" t="s">
        <v>254</v>
      </c>
      <c r="F7" s="2" t="s">
        <v>254</v>
      </c>
    </row>
    <row r="8" customFormat="false" ht="15" hidden="false" customHeight="false" outlineLevel="0" collapsed="false">
      <c r="A8" s="2" t="s">
        <v>255</v>
      </c>
      <c r="B8" s="7" t="n">
        <v>0</v>
      </c>
      <c r="C8" s="7" t="n">
        <v>0</v>
      </c>
      <c r="D8" s="27" t="n">
        <f aca="false">B8-C8</f>
        <v>0</v>
      </c>
      <c r="E8" s="7" t="n">
        <v>0</v>
      </c>
      <c r="F8" s="2" t="str">
        <f aca="false">IF(D8=E8,"pass","FAIL")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2026-10-07T00:54:30Z</dcterms:created>
  <dc:creator>openpyxl</dc:creator>
  <dc:description/>
  <dc:language>en-US</dc:language>
  <cp:lastModifiedBy/>
  <dcterms:modified xsi:type="dcterms:W3CDTF">2026-10-07T00:54:30Z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